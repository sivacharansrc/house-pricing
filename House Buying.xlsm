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6. Our Home\"/>
    </mc:Choice>
  </mc:AlternateContent>
  <xr:revisionPtr revIDLastSave="0" documentId="13_ncr:1_{062584DD-3BE4-434C-8B5F-14F8295E738C}" xr6:coauthVersionLast="47" xr6:coauthVersionMax="47" xr10:uidLastSave="{00000000-0000-0000-0000-000000000000}"/>
  <bookViews>
    <workbookView xWindow="-120" yWindow="-120" windowWidth="51840" windowHeight="21120" activeTab="6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Upgrades Cost" sheetId="11" r:id="rId8"/>
  </sheets>
  <externalReferences>
    <externalReference r:id="rId9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2" l="1"/>
  <c r="B5" i="12" s="1"/>
  <c r="B3" i="12"/>
  <c r="F8" i="12"/>
  <c r="F7" i="12"/>
  <c r="F6" i="12"/>
  <c r="F4" i="12"/>
  <c r="F3" i="12"/>
  <c r="B23" i="12"/>
  <c r="B22" i="12"/>
  <c r="B21" i="12"/>
  <c r="B20" i="12"/>
  <c r="B8" i="12"/>
  <c r="B7" i="12"/>
  <c r="B6" i="12"/>
  <c r="B2" i="12"/>
  <c r="F23" i="12"/>
  <c r="F22" i="12"/>
  <c r="F21" i="12"/>
  <c r="B27" i="12" l="1"/>
  <c r="B17" i="12"/>
  <c r="B18" i="12" s="1"/>
  <c r="B19" i="12" s="1"/>
  <c r="B25" i="12" l="1"/>
  <c r="F34" i="6" l="1"/>
  <c r="F33" i="6"/>
  <c r="F32" i="6"/>
  <c r="J12" i="6"/>
  <c r="B12" i="6"/>
  <c r="N6" i="6"/>
  <c r="N7" i="6" s="1"/>
  <c r="B9" i="11"/>
  <c r="B7" i="11"/>
  <c r="C24" i="10"/>
  <c r="C31" i="10"/>
  <c r="C30" i="10"/>
  <c r="C29" i="10"/>
  <c r="C23" i="10"/>
  <c r="M10" i="10"/>
  <c r="M9" i="10"/>
  <c r="M8" i="10"/>
  <c r="M7" i="10"/>
  <c r="M6" i="10"/>
  <c r="L10" i="10"/>
  <c r="L9" i="10"/>
  <c r="L8" i="10"/>
  <c r="L7" i="10"/>
  <c r="L6" i="10"/>
  <c r="I10" i="10"/>
  <c r="I9" i="10"/>
  <c r="I8" i="10"/>
  <c r="I7" i="10"/>
  <c r="I6" i="10"/>
  <c r="H10" i="10"/>
  <c r="H9" i="10"/>
  <c r="H8" i="10"/>
  <c r="H7" i="10"/>
  <c r="H6" i="10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F10" i="6" l="1"/>
  <c r="F11" i="6" s="1"/>
  <c r="F12" i="6" s="1"/>
  <c r="F8" i="6"/>
  <c r="N8" i="6"/>
  <c r="N9" i="6" s="1"/>
  <c r="J8" i="6"/>
  <c r="J18" i="6"/>
  <c r="B4" i="6"/>
  <c r="F5" i="12" s="1"/>
  <c r="F27" i="12" l="1"/>
  <c r="F12" i="12"/>
  <c r="F14" i="12" s="1"/>
  <c r="F15" i="12" s="1"/>
  <c r="F17" i="12" s="1"/>
  <c r="J16" i="6"/>
  <c r="J9" i="6"/>
  <c r="J10" i="6" s="1"/>
  <c r="B18" i="6"/>
  <c r="B8" i="6"/>
  <c r="F18" i="12" l="1"/>
  <c r="F19" i="12" s="1"/>
  <c r="J8" i="12"/>
  <c r="F25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  <author>tc={E8A456BE-96AE-4EF0-AFF9-D0257311F561}</author>
    <author>tc={EA3B9A84-5DE4-44CD-B50F-C47432C502D1}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N8" authorId="1" shapeId="0" xr:uid="{7194C22A-C201-4BAD-9B8A-434BA205CECB}">
      <text>
        <r>
          <rPr>
            <sz val="11"/>
            <color theme="1"/>
            <rFont val="Arial Nova"/>
            <family val="2"/>
          </rPr>
          <t>Considering federal and state taxes, and IRA. 69% is more of a conservative number. 0.73 is used, as it mimics the acutals</t>
        </r>
      </text>
    </comment>
    <comment ref="F11" authorId="1" shapeId="0" xr:uid="{6CC50248-E221-4476-955C-4357EBEC90B1}">
      <text>
        <r>
          <rPr>
            <sz val="11"/>
            <color theme="1"/>
            <rFont val="Arial Nova"/>
            <family val="2"/>
          </rPr>
          <t>Considering federal and state taxes, and IRA. 69% is more of a conservative number. 0.75 is used, as it mimics the acutals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B13" authorId="2" shapeId="0" xr:uid="{E19E915A-45AF-4F7B-A42A-53454328E7D5}">
      <text>
        <r>
          <rPr>
            <sz val="11"/>
            <color theme="1"/>
            <rFont val="Arial Nova"/>
            <family val="2"/>
          </rPr>
          <t>0.027% of Home Value</t>
        </r>
      </text>
    </comment>
    <comment ref="J13" authorId="2" shapeId="0" xr:uid="{D4252BDF-5169-46FE-B21B-8D2EFF0E611B}">
      <text>
        <r>
          <rPr>
            <sz val="11"/>
            <color theme="1"/>
            <rFont val="Arial Nova"/>
            <family val="2"/>
          </rPr>
          <t>0.027% of Home Value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sharedStrings.xml><?xml version="1.0" encoding="utf-8"?>
<sst xmlns="http://schemas.openxmlformats.org/spreadsheetml/2006/main" count="1359" uniqueCount="349">
  <si>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</si>
  <si>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</si>
  <si>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</si>
  <si>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</si>
  <si>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</si>
  <si>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</si>
  <si>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</si>
  <si>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</si>
  <si>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</si>
  <si>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</si>
  <si>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</si>
  <si>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</si>
  <si>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</si>
  <si>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</si>
  <si>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</si>
  <si>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</si>
  <si>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</si>
  <si>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</si>
  <si>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</si>
  <si>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</si>
  <si>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</si>
  <si>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</si>
  <si>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</si>
  <si>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</si>
  <si>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</si>
  <si>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</si>
  <si>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</si>
  <si>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</si>
  <si>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</si>
  <si>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</si>
  <si>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</si>
  <si>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</si>
  <si>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</si>
  <si>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</si>
  <si>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</si>
  <si>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</si>
  <si>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</si>
  <si>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</si>
  <si>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</si>
  <si>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</si>
  <si>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</si>
  <si>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</si>
  <si>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</si>
  <si>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</si>
  <si>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</si>
  <si>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</si>
  <si>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</si>
  <si>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</si>
  <si>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</si>
  <si>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</si>
  <si>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</si>
  <si>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</si>
  <si>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</si>
  <si>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</si>
  <si>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</si>
  <si>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</si>
  <si>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</si>
  <si>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</si>
  <si>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</si>
  <si>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</si>
  <si>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</si>
  <si>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</si>
  <si>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</si>
  <si>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</si>
  <si>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</si>
  <si>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</si>
  <si>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</si>
  <si>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</si>
  <si>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</si>
  <si>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</si>
  <si>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</si>
  <si>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</si>
  <si>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</si>
  <si>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</si>
  <si>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</si>
  <si>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</si>
  <si>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</si>
  <si>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</si>
  <si>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</si>
  <si>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</si>
  <si>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</si>
  <si>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</si>
  <si>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</si>
  <si>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</si>
  <si>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</si>
  <si>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</si>
  <si>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</si>
  <si>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</si>
  <si>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</si>
  <si>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</si>
  <si>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</si>
  <si>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</si>
  <si>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</si>
  <si>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</si>
  <si>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</si>
  <si>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</si>
  <si>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</si>
  <si>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</si>
  <si>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</si>
  <si>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</si>
  <si>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</si>
  <si>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</si>
  <si>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</si>
  <si>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</si>
  <si>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</si>
  <si>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</si>
  <si>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</si>
  <si>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</si>
  <si>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</si>
  <si>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</si>
  <si>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</si>
  <si>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</si>
  <si>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</si>
  <si>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</si>
  <si>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</si>
  <si>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</si>
  <si>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</si>
  <si>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</si>
  <si>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</si>
  <si>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</si>
  <si>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</si>
  <si>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</si>
  <si>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</si>
  <si>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</si>
  <si>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</si>
  <si>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</si>
  <si>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</si>
  <si>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</si>
  <si>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</si>
  <si>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</si>
  <si>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</si>
  <si>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</si>
  <si>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</si>
  <si>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</si>
  <si>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</si>
  <si>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</si>
  <si>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</si>
  <si>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</si>
  <si>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</si>
  <si>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</si>
  <si>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</si>
  <si>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</si>
  <si>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</si>
  <si>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</si>
  <si>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</si>
  <si>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</si>
  <si>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</si>
  <si>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</si>
  <si>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</si>
  <si>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</si>
  <si>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</si>
  <si>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</si>
  <si>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</si>
  <si>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</si>
  <si>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</si>
  <si>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</si>
  <si>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</si>
  <si>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</si>
  <si>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</si>
  <si>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</si>
  <si>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</si>
  <si>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</si>
  <si>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</si>
  <si>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</si>
  <si>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</si>
  <si>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</si>
  <si>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</si>
  <si>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</si>
  <si>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</si>
  <si>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</si>
  <si>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</si>
  <si>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</si>
  <si>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</si>
  <si>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</si>
  <si>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</si>
  <si>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</si>
  <si>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</si>
  <si>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</si>
  <si>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</si>
  <si>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</si>
  <si>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</si>
  <si>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</si>
  <si>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</si>
  <si>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</si>
  <si>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</si>
  <si>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</si>
  <si>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</si>
  <si>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</si>
  <si>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</si>
  <si>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</si>
  <si>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</si>
  <si>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</si>
  <si>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</si>
  <si>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</si>
  <si>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</si>
  <si>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</si>
  <si>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</si>
  <si>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</si>
  <si>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</si>
  <si>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</si>
  <si>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</si>
  <si>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</si>
  <si>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</si>
  <si>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</si>
  <si>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</si>
  <si>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</si>
  <si>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</si>
  <si>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</si>
  <si>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</si>
  <si>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</si>
  <si>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</si>
  <si>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</si>
  <si>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</si>
  <si>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</si>
  <si>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</si>
  <si>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</si>
  <si>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</si>
  <si>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</si>
  <si>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</si>
  <si>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</si>
  <si>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</si>
  <si>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</si>
  <si>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</si>
  <si>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</si>
  <si>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</si>
  <si>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</si>
  <si>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</si>
  <si>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</si>
  <si>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</si>
  <si>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</si>
  <si>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</si>
  <si>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</si>
  <si>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</si>
  <si>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</si>
  <si>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</si>
  <si>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</si>
  <si>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</si>
  <si>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</si>
  <si>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</si>
  <si>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</si>
  <si>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</si>
  <si>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</si>
  <si>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</si>
  <si>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</si>
  <si>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</si>
  <si>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</si>
  <si>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</si>
  <si>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</si>
  <si>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</si>
  <si>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</si>
  <si>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</si>
  <si>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</si>
  <si>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</si>
  <si>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</si>
  <si>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</si>
  <si>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</si>
  <si>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</si>
  <si>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</si>
  <si>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</si>
  <si>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</si>
  <si>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</si>
  <si>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</si>
  <si>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</si>
  <si>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</si>
  <si>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</si>
  <si>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</si>
  <si>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</si>
  <si>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</si>
  <si>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</si>
  <si>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</si>
  <si>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</si>
  <si>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</si>
  <si>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</si>
  <si>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</si>
  <si>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</si>
  <si>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</si>
  <si>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</si>
  <si>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</si>
  <si>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</si>
  <si>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</si>
  <si>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</si>
  <si>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</si>
  <si>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</si>
  <si>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</si>
  <si>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</si>
  <si>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</si>
  <si>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</si>
  <si>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</si>
  <si>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</si>
  <si>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</si>
  <si>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</si>
  <si>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</si>
  <si>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</si>
  <si>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</si>
  <si>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</si>
  <si>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</si>
  <si>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</si>
  <si>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</si>
  <si>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</si>
  <si>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</si>
  <si>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</si>
  <si>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</si>
  <si>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</si>
  <si>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</si>
  <si>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</si>
  <si>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</si>
  <si>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</si>
  <si>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</si>
  <si>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</si>
  <si>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</si>
  <si>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</si>
  <si>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</si>
  <si>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</si>
  <si>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</si>
  <si>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</si>
  <si>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Breakeven (in years)</t>
  </si>
  <si>
    <t>Points Calculation</t>
  </si>
  <si>
    <t>Origination Fees</t>
  </si>
  <si>
    <t>Points</t>
  </si>
  <si>
    <t>Per point reduction</t>
  </si>
  <si>
    <t>Rate reduction for accumulated 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</si>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</sst>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67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 applyAlignment="1">
      <alignment horizontal="left" wrapText="1"/>
    </xf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left" wrapText="1"/>
    </xf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vac\Downloads\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B12">
            <v>6320</v>
          </cell>
        </row>
        <row r="13">
          <cell r="B13">
            <v>1571.3999999999999</v>
          </cell>
        </row>
        <row r="14">
          <cell r="B14">
            <v>47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4" sqref="B4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485000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120000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335000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30</v>
      </c>
      <c r="E6" s="23" t="s">
        <v>32</v>
      </c>
      <c r="F6" s="26">
        <f>SUM(F3:F5)</f>
        <v>120000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1457.9411688924749</v>
      </c>
      <c r="C8" s="4"/>
      <c r="E8" s="23" t="s">
        <v>306</v>
      </c>
      <c r="F8" s="26">
        <f>(F6/12)*0.07</f>
        <v>700.00000000000011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524858.82080129103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189858.82080129103</v>
      </c>
      <c r="E10" s="23" t="s">
        <v>293</v>
      </c>
      <c r="F10" s="26">
        <f>(F6/12) - SUM(F7:F9)</f>
        <v>8580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77220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6320</v>
      </c>
      <c r="C12" s="15"/>
      <c r="E12" s="23" t="s">
        <v>36</v>
      </c>
      <c r="F12" s="26">
        <f>F11/12</f>
        <v>6435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1571.3999999999999</v>
      </c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0.25204636778078571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2162.5578355591415</v>
      </c>
      <c r="C16" s="4"/>
      <c r="E16" s="27" t="s">
        <v>292</v>
      </c>
      <c r="F16" s="28">
        <f>((-F23)+B16)/F10</f>
        <v>0.4851466008810188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15075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0.33606182370771431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0.6468621345080251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4272.4421644408585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2272.4421644408585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27"/>
  <sheetViews>
    <sheetView workbookViewId="0">
      <selection activeCell="B6" sqref="B6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18" bestFit="1" customWidth="1"/>
    <col min="10" max="10" width="5.625" bestFit="1" customWidth="1"/>
  </cols>
  <sheetData>
    <row r="1" spans="1:10" x14ac:dyDescent="0.2">
      <c r="A1" s="55" t="s">
        <v>313</v>
      </c>
      <c r="B1" s="52"/>
      <c r="C1" s="52"/>
      <c r="D1" s="52"/>
      <c r="E1" s="55" t="s">
        <v>314</v>
      </c>
      <c r="F1" s="52"/>
      <c r="G1" s="52"/>
      <c r="H1" s="52"/>
      <c r="I1" s="52"/>
      <c r="J1" s="52"/>
    </row>
    <row r="2" spans="1:10" x14ac:dyDescent="0.2">
      <c r="A2" s="52" t="s">
        <v>24</v>
      </c>
      <c r="B2" s="56">
        <f>'Monthly Payment'!B2</f>
        <v>485000</v>
      </c>
      <c r="C2" s="52"/>
      <c r="D2" s="52"/>
      <c r="E2" s="55"/>
      <c r="F2" s="52"/>
      <c r="G2" s="52"/>
      <c r="H2" s="52"/>
      <c r="I2" s="52"/>
      <c r="J2" s="52"/>
    </row>
    <row r="3" spans="1:10" x14ac:dyDescent="0.2">
      <c r="A3" s="52" t="s">
        <v>322</v>
      </c>
      <c r="B3" s="56">
        <f>'Monthly Payment'!B3</f>
        <v>150000</v>
      </c>
      <c r="C3" s="52"/>
      <c r="D3" s="52"/>
      <c r="E3" s="52" t="s">
        <v>24</v>
      </c>
      <c r="F3" s="56">
        <f>'Monthly Payment'!$B$2</f>
        <v>485000</v>
      </c>
      <c r="G3" s="52"/>
      <c r="H3" s="52"/>
      <c r="I3" s="52"/>
      <c r="J3" s="52"/>
    </row>
    <row r="4" spans="1:10" x14ac:dyDescent="0.2">
      <c r="A4" s="52" t="s">
        <v>323</v>
      </c>
      <c r="B4" s="53">
        <f>'Monthly Payment'!B3+F11</f>
        <v>152000</v>
      </c>
      <c r="C4" s="52"/>
      <c r="D4" s="52"/>
      <c r="E4" s="52" t="s">
        <v>25</v>
      </c>
      <c r="F4" s="53">
        <f>'Monthly Payment'!$B$3</f>
        <v>150000</v>
      </c>
      <c r="G4" s="52"/>
      <c r="H4" s="52"/>
      <c r="I4" s="52"/>
      <c r="J4" s="52"/>
    </row>
    <row r="5" spans="1:10" x14ac:dyDescent="0.2">
      <c r="A5" s="52" t="s">
        <v>27</v>
      </c>
      <c r="B5" s="53">
        <f>B2-B4</f>
        <v>333000</v>
      </c>
      <c r="C5" s="52"/>
      <c r="D5" s="52"/>
      <c r="E5" s="52" t="s">
        <v>27</v>
      </c>
      <c r="F5" s="53">
        <f>'Monthly Payment'!$B$4</f>
        <v>335000</v>
      </c>
      <c r="G5" s="52"/>
      <c r="H5" s="52"/>
      <c r="I5" s="52"/>
      <c r="J5" s="52"/>
    </row>
    <row r="6" spans="1:10" x14ac:dyDescent="0.2">
      <c r="A6" s="52" t="s">
        <v>29</v>
      </c>
      <c r="B6" s="57">
        <f>'Monthly Payment'!B5</f>
        <v>3.2500000000000001E-2</v>
      </c>
      <c r="C6" s="52"/>
      <c r="D6" s="52"/>
      <c r="E6" s="52" t="s">
        <v>29</v>
      </c>
      <c r="F6" s="57">
        <f>'Monthly Payment'!$B$5</f>
        <v>3.2500000000000001E-2</v>
      </c>
      <c r="G6" s="52"/>
      <c r="H6" s="52"/>
      <c r="I6" s="52"/>
      <c r="J6" s="52"/>
    </row>
    <row r="7" spans="1:10" x14ac:dyDescent="0.2">
      <c r="A7" s="52" t="s">
        <v>31</v>
      </c>
      <c r="B7" s="58">
        <f>'Monthly Payment'!B6</f>
        <v>30</v>
      </c>
      <c r="C7" s="52"/>
      <c r="D7" s="52"/>
      <c r="E7" s="52" t="s">
        <v>31</v>
      </c>
      <c r="F7" s="58">
        <f>'Monthly Payment'!$B$6</f>
        <v>30</v>
      </c>
      <c r="G7" s="52"/>
      <c r="H7" s="52"/>
      <c r="I7" s="52"/>
      <c r="J7" s="52"/>
    </row>
    <row r="8" spans="1:10" x14ac:dyDescent="0.2">
      <c r="A8" s="52" t="s">
        <v>33</v>
      </c>
      <c r="B8" s="52">
        <f>'Monthly Payment'!B7</f>
        <v>12</v>
      </c>
      <c r="C8" s="52"/>
      <c r="D8" s="52"/>
      <c r="E8" s="52" t="s">
        <v>33</v>
      </c>
      <c r="F8" s="52">
        <f>'Monthly Payment'!$B$7</f>
        <v>12</v>
      </c>
      <c r="G8" s="52"/>
      <c r="H8" s="52"/>
      <c r="I8" s="52" t="s">
        <v>315</v>
      </c>
      <c r="J8" s="63">
        <f>(F11/(B17-F17))/12</f>
        <v>8.9623484338835038</v>
      </c>
    </row>
    <row r="9" spans="1:10" x14ac:dyDescent="0.2">
      <c r="A9" s="52"/>
      <c r="B9" s="52"/>
      <c r="C9" s="52"/>
      <c r="D9" s="52"/>
      <c r="E9" s="52"/>
      <c r="F9" s="52"/>
      <c r="G9" s="52"/>
      <c r="H9" s="52"/>
      <c r="I9" s="52"/>
      <c r="J9" s="52"/>
    </row>
    <row r="10" spans="1:10" x14ac:dyDescent="0.2">
      <c r="A10" s="52"/>
      <c r="B10" s="52"/>
      <c r="C10" s="52"/>
      <c r="D10" s="52"/>
      <c r="E10" s="55" t="s">
        <v>316</v>
      </c>
      <c r="F10" s="52"/>
      <c r="G10" s="52"/>
      <c r="H10" s="52"/>
      <c r="I10" s="52"/>
      <c r="J10" s="52"/>
    </row>
    <row r="11" spans="1:10" x14ac:dyDescent="0.2">
      <c r="A11" s="52"/>
      <c r="B11" s="52"/>
      <c r="C11" s="52"/>
      <c r="D11" s="52"/>
      <c r="E11" s="52" t="s">
        <v>317</v>
      </c>
      <c r="F11" s="56">
        <v>2000</v>
      </c>
      <c r="G11" s="52"/>
      <c r="H11" s="52"/>
      <c r="I11" s="52"/>
      <c r="J11" s="52"/>
    </row>
    <row r="12" spans="1:10" x14ac:dyDescent="0.2">
      <c r="A12" s="52"/>
      <c r="B12" s="52"/>
      <c r="C12" s="52"/>
      <c r="D12" s="52"/>
      <c r="E12" s="52" t="s">
        <v>318</v>
      </c>
      <c r="F12" s="64">
        <f>F11/(0.01*F5)</f>
        <v>0.59701492537313428</v>
      </c>
      <c r="G12" s="52"/>
      <c r="H12" s="52"/>
      <c r="I12" s="52"/>
      <c r="J12" s="52"/>
    </row>
    <row r="13" spans="1:10" x14ac:dyDescent="0.2">
      <c r="A13" s="52"/>
      <c r="B13" s="52"/>
      <c r="C13" s="52"/>
      <c r="D13" s="52"/>
      <c r="E13" s="52" t="s">
        <v>319</v>
      </c>
      <c r="F13" s="57">
        <v>2.5000000000000001E-3</v>
      </c>
      <c r="G13" s="52"/>
      <c r="H13" s="52"/>
      <c r="I13" s="52"/>
      <c r="J13" s="52"/>
    </row>
    <row r="14" spans="1:10" x14ac:dyDescent="0.2">
      <c r="A14" s="52"/>
      <c r="B14" s="52"/>
      <c r="C14" s="52"/>
      <c r="D14" s="52"/>
      <c r="E14" s="52" t="s">
        <v>320</v>
      </c>
      <c r="F14" s="65">
        <f>F13*F12</f>
        <v>1.4925373134328356E-3</v>
      </c>
      <c r="G14" s="52"/>
      <c r="H14" s="52"/>
      <c r="I14" s="52"/>
      <c r="J14" s="52"/>
    </row>
    <row r="15" spans="1:10" x14ac:dyDescent="0.2">
      <c r="A15" s="52"/>
      <c r="B15" s="52"/>
      <c r="C15" s="52"/>
      <c r="D15" s="52"/>
      <c r="E15" s="52" t="s">
        <v>321</v>
      </c>
      <c r="F15" s="65">
        <f>F6-F14</f>
        <v>3.1007462686567164E-2</v>
      </c>
      <c r="G15" s="52"/>
      <c r="H15" s="52"/>
      <c r="I15" s="52"/>
      <c r="J15" s="52"/>
    </row>
    <row r="16" spans="1:10" x14ac:dyDescent="0.2">
      <c r="A16" s="52"/>
      <c r="B16" s="52"/>
      <c r="C16" s="52"/>
      <c r="D16" s="52"/>
      <c r="E16" s="52"/>
      <c r="F16" s="52"/>
      <c r="G16" s="52"/>
      <c r="H16" s="52"/>
      <c r="I16" s="52"/>
      <c r="J16" s="52"/>
    </row>
    <row r="17" spans="1:10" x14ac:dyDescent="0.2">
      <c r="A17" s="52" t="s">
        <v>35</v>
      </c>
      <c r="B17" s="53">
        <f>-PMT(B6/B8,B8*B7,B5)</f>
        <v>1449.2370425110275</v>
      </c>
      <c r="C17" s="52"/>
      <c r="D17" s="52"/>
      <c r="E17" s="52" t="s">
        <v>35</v>
      </c>
      <c r="F17" s="53">
        <f>-PMT(F15/F8,F8*F7,F5)</f>
        <v>1430.6407261664679</v>
      </c>
      <c r="G17" s="52"/>
      <c r="H17" s="52"/>
      <c r="I17" s="52"/>
      <c r="J17" s="52"/>
    </row>
    <row r="18" spans="1:10" x14ac:dyDescent="0.2">
      <c r="A18" s="52" t="s">
        <v>37</v>
      </c>
      <c r="B18" s="53">
        <f>B17*B8*B7</f>
        <v>521725.33530396991</v>
      </c>
      <c r="C18" s="52"/>
      <c r="D18" s="52"/>
      <c r="E18" s="52" t="s">
        <v>37</v>
      </c>
      <c r="F18" s="53">
        <f>F17*F8*F7</f>
        <v>515030.66141992842</v>
      </c>
      <c r="G18" s="52"/>
      <c r="H18" s="52"/>
      <c r="I18" s="52"/>
      <c r="J18" s="52"/>
    </row>
    <row r="19" spans="1:10" x14ac:dyDescent="0.2">
      <c r="A19" s="52" t="s">
        <v>38</v>
      </c>
      <c r="B19" s="53">
        <f>B18-B5</f>
        <v>188725.33530396991</v>
      </c>
      <c r="C19" s="52"/>
      <c r="D19" s="52"/>
      <c r="E19" s="52" t="s">
        <v>38</v>
      </c>
      <c r="F19" s="53">
        <f>F18-F5</f>
        <v>180030.66141992842</v>
      </c>
      <c r="G19" s="52"/>
      <c r="H19" s="52"/>
      <c r="I19" s="52"/>
      <c r="J19" s="52"/>
    </row>
    <row r="20" spans="1:10" x14ac:dyDescent="0.2">
      <c r="A20" s="52"/>
      <c r="B20" s="53" t="str">
        <f>'Monthly Payment'!B11</f>
        <v xml:space="preserve"> </v>
      </c>
      <c r="C20" s="52"/>
      <c r="D20" s="52"/>
      <c r="E20" s="52"/>
      <c r="F20" s="53"/>
      <c r="G20" s="52"/>
      <c r="H20" s="52"/>
      <c r="I20" s="52"/>
      <c r="J20" s="52"/>
    </row>
    <row r="21" spans="1:10" x14ac:dyDescent="0.2">
      <c r="A21" s="52" t="s">
        <v>41</v>
      </c>
      <c r="B21" s="59">
        <f>'Monthly Payment'!B12</f>
        <v>6320</v>
      </c>
      <c r="C21" s="52"/>
      <c r="D21" s="52"/>
      <c r="E21" s="52" t="s">
        <v>41</v>
      </c>
      <c r="F21" s="59">
        <f>'[1]Monthly Payment'!B12</f>
        <v>6320</v>
      </c>
      <c r="G21" s="52"/>
      <c r="H21" s="52"/>
      <c r="I21" s="52"/>
      <c r="J21" s="52"/>
    </row>
    <row r="22" spans="1:10" x14ac:dyDescent="0.2">
      <c r="A22" s="52" t="s">
        <v>42</v>
      </c>
      <c r="B22" s="59">
        <f>'Monthly Payment'!B13</f>
        <v>1571.3999999999999</v>
      </c>
      <c r="C22" s="52"/>
      <c r="D22" s="52"/>
      <c r="E22" s="52" t="s">
        <v>42</v>
      </c>
      <c r="F22" s="59">
        <f>'[1]Monthly Payment'!B13</f>
        <v>1571.3999999999999</v>
      </c>
      <c r="G22" s="52"/>
      <c r="H22" s="52"/>
      <c r="I22" s="52"/>
      <c r="J22" s="52"/>
    </row>
    <row r="23" spans="1:10" x14ac:dyDescent="0.2">
      <c r="A23" s="52" t="s">
        <v>44</v>
      </c>
      <c r="B23" s="59">
        <f>'Monthly Payment'!B14</f>
        <v>47</v>
      </c>
      <c r="C23" s="52"/>
      <c r="D23" s="52"/>
      <c r="E23" s="52" t="s">
        <v>44</v>
      </c>
      <c r="F23" s="59">
        <f>'[1]Monthly Payment'!B14</f>
        <v>47</v>
      </c>
      <c r="G23" s="52"/>
      <c r="H23" s="52"/>
      <c r="I23" s="52"/>
      <c r="J23" s="52"/>
    </row>
    <row r="24" spans="1:10" x14ac:dyDescent="0.2">
      <c r="A24" s="52"/>
      <c r="B24" s="53"/>
      <c r="C24" s="52"/>
      <c r="D24" s="52"/>
      <c r="E24" s="52"/>
      <c r="F24" s="53"/>
      <c r="G24" s="52"/>
      <c r="H24" s="52"/>
      <c r="I24" s="52"/>
      <c r="J24" s="52"/>
    </row>
    <row r="25" spans="1:10" x14ac:dyDescent="0.2">
      <c r="A25" s="55" t="s">
        <v>47</v>
      </c>
      <c r="B25" s="62">
        <f>SUM(B17,B21/12,B22/12,B23)</f>
        <v>2153.8537091776939</v>
      </c>
      <c r="C25" s="52"/>
      <c r="D25" s="52"/>
      <c r="E25" s="55" t="s">
        <v>47</v>
      </c>
      <c r="F25" s="62">
        <f>SUM(F17,F21/12,F22/12,F23)</f>
        <v>2135.2573928331344</v>
      </c>
      <c r="G25" s="52"/>
      <c r="H25" s="52"/>
      <c r="I25" s="52"/>
      <c r="J25" s="52"/>
    </row>
    <row r="26" spans="1:1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</row>
    <row r="27" spans="1:10" x14ac:dyDescent="0.2">
      <c r="A27" s="60" t="s">
        <v>48</v>
      </c>
      <c r="B27" s="61">
        <f>B5*0.045</f>
        <v>14985</v>
      </c>
      <c r="C27" s="52"/>
      <c r="D27" s="52"/>
      <c r="E27" s="60" t="s">
        <v>48</v>
      </c>
      <c r="F27" s="61">
        <f>F5*0.045</f>
        <v>15075</v>
      </c>
      <c r="G27" s="52"/>
      <c r="H27" s="52"/>
      <c r="I27" s="52"/>
      <c r="J27" s="5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C16"/>
  <sheetViews>
    <sheetView tabSelected="1" workbookViewId="0">
      <selection activeCell="C9" sqref="C9"/>
    </sheetView>
  </sheetViews>
  <sheetFormatPr defaultRowHeight="14.25" x14ac:dyDescent="0.2"/>
  <cols>
    <col min="1" max="1" width="97.875" style="54" customWidth="1"/>
    <col min="2" max="2" width="61.75" customWidth="1"/>
    <col min="3" max="3" width="42.75" customWidth="1"/>
  </cols>
  <sheetData>
    <row r="1" spans="1:3" x14ac:dyDescent="0.2">
      <c r="A1" s="54" t="s">
        <v>324</v>
      </c>
      <c r="C1" t="s">
        <v>341</v>
      </c>
    </row>
    <row r="2" spans="1:3" x14ac:dyDescent="0.2">
      <c r="A2" s="54" t="s">
        <v>325</v>
      </c>
      <c r="B2" s="51" t="s">
        <v>328</v>
      </c>
      <c r="C2" t="s">
        <v>342</v>
      </c>
    </row>
    <row r="3" spans="1:3" ht="28.5" x14ac:dyDescent="0.2">
      <c r="A3" s="54" t="s">
        <v>326</v>
      </c>
      <c r="B3" s="51"/>
      <c r="C3" t="s">
        <v>343</v>
      </c>
    </row>
    <row r="4" spans="1:3" x14ac:dyDescent="0.2">
      <c r="A4" s="54" t="s">
        <v>327</v>
      </c>
      <c r="B4" s="51"/>
      <c r="C4" t="s">
        <v>344</v>
      </c>
    </row>
    <row r="5" spans="1:3" x14ac:dyDescent="0.2">
      <c r="A5" s="54" t="s">
        <v>329</v>
      </c>
      <c r="C5" t="s">
        <v>345</v>
      </c>
    </row>
    <row r="6" spans="1:3" x14ac:dyDescent="0.2">
      <c r="A6" s="66" t="s">
        <v>330</v>
      </c>
      <c r="C6" t="s">
        <v>346</v>
      </c>
    </row>
    <row r="7" spans="1:3" x14ac:dyDescent="0.2">
      <c r="A7" s="66" t="s">
        <v>331</v>
      </c>
      <c r="C7" t="s">
        <v>347</v>
      </c>
    </row>
    <row r="8" spans="1:3" ht="28.5" x14ac:dyDescent="0.2">
      <c r="A8" s="66" t="s">
        <v>332</v>
      </c>
      <c r="C8" t="s">
        <v>348</v>
      </c>
    </row>
    <row r="9" spans="1:3" x14ac:dyDescent="0.2">
      <c r="A9" s="66" t="s">
        <v>333</v>
      </c>
    </row>
    <row r="10" spans="1:3" x14ac:dyDescent="0.2">
      <c r="A10" s="66" t="s">
        <v>334</v>
      </c>
    </row>
    <row r="11" spans="1:3" x14ac:dyDescent="0.2">
      <c r="A11" s="66" t="s">
        <v>335</v>
      </c>
    </row>
    <row r="12" spans="1:3" x14ac:dyDescent="0.2">
      <c r="A12" s="66" t="s">
        <v>336</v>
      </c>
    </row>
    <row r="13" spans="1:3" x14ac:dyDescent="0.2">
      <c r="A13" s="66" t="s">
        <v>337</v>
      </c>
    </row>
    <row r="14" spans="1:3" x14ac:dyDescent="0.2">
      <c r="A14" s="66" t="s">
        <v>338</v>
      </c>
    </row>
    <row r="15" spans="1:3" x14ac:dyDescent="0.2">
      <c r="A15" s="66" t="s">
        <v>339</v>
      </c>
    </row>
    <row r="16" spans="1:3" ht="28.5" x14ac:dyDescent="0.2">
      <c r="A16" s="66" t="s">
        <v>340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2022-01-24T05:32:48Z</dcterms:modified>
</cp:coreProperties>
</file>