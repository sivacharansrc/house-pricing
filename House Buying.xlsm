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yergroup-my.sharepoint.com/personal/sivacharan_chandrasekar_bayer_com/Documents/Personal Data-R90PQ30R/Analytics/house-pricing/"/>
    </mc:Choice>
  </mc:AlternateContent>
  <xr:revisionPtr revIDLastSave="21" documentId="13_ncr:1_{85042575-2B9B-4300-A7E0-63E0B435CD20}" xr6:coauthVersionLast="46" xr6:coauthVersionMax="47" xr10:uidLastSave="{59260548-196C-47CD-B9BC-BEB52626AE17}"/>
  <bookViews>
    <workbookView minimized="1" xWindow="12465" yWindow="2430" windowWidth="6495" windowHeight="12375" activeTab="6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Lender Rates" sheetId="14" r:id="rId8"/>
    <sheet name="Upgrades Cost" sheetId="11" r:id="rId9"/>
  </sheets>
  <externalReferences>
    <externalReference r:id="rId10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4" l="1"/>
  <c r="N2" i="14"/>
  <c r="F13" i="12"/>
  <c r="J17" i="12"/>
  <c r="F6" i="12"/>
  <c r="B3" i="12"/>
  <c r="F8" i="12"/>
  <c r="F7" i="12"/>
  <c r="F4" i="12"/>
  <c r="F3" i="12"/>
  <c r="B24" i="12"/>
  <c r="B21" i="12"/>
  <c r="B9" i="12"/>
  <c r="B8" i="12"/>
  <c r="B7" i="12"/>
  <c r="B2" i="12"/>
  <c r="F21" i="12"/>
  <c r="F32" i="6" l="1"/>
  <c r="F33" i="6" s="1"/>
  <c r="F34" i="6" s="1"/>
  <c r="J12" i="6"/>
  <c r="B12" i="6"/>
  <c r="N6" i="6"/>
  <c r="N7" i="6" s="1"/>
  <c r="B7" i="11"/>
  <c r="B9" i="11" s="1"/>
  <c r="C24" i="10"/>
  <c r="C30" i="10"/>
  <c r="C31" i="10" s="1"/>
  <c r="C29" i="10"/>
  <c r="C23" i="10"/>
  <c r="L10" i="10"/>
  <c r="M10" i="10" s="1"/>
  <c r="L9" i="10"/>
  <c r="M9" i="10" s="1"/>
  <c r="L8" i="10"/>
  <c r="M8" i="10" s="1"/>
  <c r="L7" i="10"/>
  <c r="M7" i="10" s="1"/>
  <c r="L6" i="10"/>
  <c r="M6" i="10" s="1"/>
  <c r="H10" i="10"/>
  <c r="I10" i="10" s="1"/>
  <c r="H9" i="10"/>
  <c r="I9" i="10" s="1"/>
  <c r="H8" i="10"/>
  <c r="I8" i="10" s="1"/>
  <c r="H7" i="10"/>
  <c r="I7" i="10" s="1"/>
  <c r="H6" i="10"/>
  <c r="I6" i="10" s="1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B23" i="12" l="1"/>
  <c r="F20" i="12" s="1"/>
  <c r="B22" i="12"/>
  <c r="F19" i="12" s="1"/>
  <c r="F8" i="6"/>
  <c r="F10" i="6" s="1"/>
  <c r="F11" i="6" s="1"/>
  <c r="F12" i="6" s="1"/>
  <c r="N8" i="6"/>
  <c r="N9" i="6" s="1"/>
  <c r="J8" i="6"/>
  <c r="J18" i="6"/>
  <c r="B4" i="6"/>
  <c r="F5" i="12" s="1"/>
  <c r="J18" i="12" s="1"/>
  <c r="F11" i="12" s="1"/>
  <c r="B4" i="12" s="1"/>
  <c r="B6" i="12" s="1"/>
  <c r="B28" i="12" l="1"/>
  <c r="B18" i="12"/>
  <c r="B19" i="12" s="1"/>
  <c r="B20" i="12" s="1"/>
  <c r="F25" i="12"/>
  <c r="F12" i="12"/>
  <c r="F15" i="12" s="1"/>
  <c r="J16" i="6"/>
  <c r="J9" i="6"/>
  <c r="J10" i="6" s="1"/>
  <c r="B18" i="6"/>
  <c r="B8" i="6"/>
  <c r="B26" i="12" l="1"/>
  <c r="J7" i="12"/>
  <c r="J8" i="12"/>
  <c r="F16" i="12"/>
  <c r="F17" i="12" s="1"/>
  <c r="F23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  <author>tc={37A28D76-DFE4-4C0F-9EF0-69A2880DD416}</author>
    <author>tc={6F39DF09-45E6-4BB6-B32E-9D7803DE9536}</author>
    <author>tc={5A2D813E-D512-4EEB-BD8C-86A2BED432B7}</author>
  </authors>
  <commentList>
    <comment ref="E1" authorId="0" shapeId="0" xr:uid="{82FB3D4C-AACF-49B5-8728-E34BE6685900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20 Yr not available. Rate is for 30 Yr Conventional</t>
        </r>
      </text>
    </comment>
    <comment ref="J1" authorId="0" shapeId="0" xr:uid="{44C8A1B1-DF0E-4171-9BD0-EF25E77FA1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20 Yr not available. Rate is for 30 Yrs</t>
        </r>
      </text>
    </comment>
    <comment ref="F2" authorId="0" shapeId="0" xr:uid="{000C4785-66D6-4C89-9DDD-D6AE5672A08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0.749 Points which equals 2471 USD</t>
        </r>
      </text>
    </comment>
    <comment ref="G2" authorId="0" shapeId="0" xr:uid="{AF2F9573-4D59-443E-971B-16DF3462EF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3.125% for 0.603 points ($2460)</t>
        </r>
      </text>
    </comment>
    <comment ref="H2" authorId="0" shapeId="0" xr:uid="{C89AD1E5-D3DB-4673-8360-C43824DC41E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0.411 credits = 3.125%</t>
        </r>
      </text>
    </comment>
    <comment ref="D3" authorId="1" shapeId="0" xr:uid="{37A28D76-DFE4-4C0F-9EF0-69A2880DD416}">
      <text>
        <t>[Threaded comment]
Your version of Excel allows you to read this threaded comment; however, any edits to it will get removed if the file is opened in a newer version of Excel. Learn more: https://go.microsoft.com/fwlink/?linkid=870924
Comment:
    +6211 in points</t>
      </text>
    </comment>
    <comment ref="F3" authorId="2" shapeId="0" xr:uid="{6F39DF09-45E6-4BB6-B32E-9D7803DE9536}">
      <text>
        <t>[Threaded comment]
Your version of Excel allows you to read this threaded comment; however, any edits to it will get removed if the file is opened in a newer version of Excel. Learn more: https://go.microsoft.com/fwlink/?linkid=870924
Comment:
    .699 points = 2307</t>
      </text>
    </comment>
    <comment ref="G3" authorId="3" shapeId="0" xr:uid="{5A2D813E-D512-4EEB-BD8C-86A2BED432B7}">
      <text>
        <t>[Threaded comment]
Your version of Excel allows you to read this threaded comment; however, any edits to it will get removed if the file is opened in a newer version of Excel. Learn more: https://go.microsoft.com/fwlink/?linkid=870924
Comment:
    3.125% for 0.403 points (1330 USD)</t>
      </text>
    </comment>
  </commentList>
</comments>
</file>

<file path=xl/sharedStrings.xml><?xml version="1.0" encoding="utf-8"?>
<sst xmlns="http://schemas.openxmlformats.org/spreadsheetml/2006/main" count="1400" uniqueCount="385">
  <si>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</si>
  <si>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</si>
  <si>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</si>
  <si>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</si>
  <si>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</si>
  <si>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</si>
  <si>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</si>
  <si>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</si>
  <si>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</si>
  <si>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</si>
  <si>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</si>
  <si>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</si>
  <si>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</si>
  <si>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</si>
  <si>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</si>
  <si>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</si>
  <si>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</si>
  <si>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</si>
  <si>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</si>
  <si>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</si>
  <si>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</si>
  <si>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</si>
  <si>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</si>
  <si>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</si>
  <si>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</si>
  <si>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</si>
  <si>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</si>
  <si>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</si>
  <si>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</si>
  <si>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</si>
  <si>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</si>
  <si>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</si>
  <si>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</si>
  <si>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</si>
  <si>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</si>
  <si>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</si>
  <si>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</si>
  <si>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</si>
  <si>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</si>
  <si>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</si>
  <si>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</si>
  <si>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</si>
  <si>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</si>
  <si>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</si>
  <si>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</si>
  <si>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</si>
  <si>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</si>
  <si>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</si>
  <si>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</si>
  <si>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</si>
  <si>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</si>
  <si>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</si>
  <si>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</si>
  <si>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</si>
  <si>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</si>
  <si>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</si>
  <si>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</si>
  <si>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</si>
  <si>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</si>
  <si>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</si>
  <si>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</si>
  <si>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</si>
  <si>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</si>
  <si>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</si>
  <si>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</si>
  <si>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</si>
  <si>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</si>
  <si>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</si>
  <si>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</si>
  <si>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</si>
  <si>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</si>
  <si>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</si>
  <si>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</si>
  <si>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</si>
  <si>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</si>
  <si>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</si>
  <si>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</si>
  <si>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</si>
  <si>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</si>
  <si>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</si>
  <si>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</si>
  <si>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</si>
  <si>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</si>
  <si>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</si>
  <si>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</si>
  <si>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</si>
  <si>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</si>
  <si>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</si>
  <si>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</si>
  <si>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</si>
  <si>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</si>
  <si>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</si>
  <si>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</si>
  <si>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</si>
  <si>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</si>
  <si>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</si>
  <si>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</si>
  <si>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</si>
  <si>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</si>
  <si>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</si>
  <si>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</si>
  <si>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</si>
  <si>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</si>
  <si>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</si>
  <si>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</si>
  <si>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</si>
  <si>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</si>
  <si>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</si>
  <si>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</si>
  <si>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</si>
  <si>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</si>
  <si>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</si>
  <si>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</si>
  <si>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</si>
  <si>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</si>
  <si>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</si>
  <si>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</si>
  <si>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</si>
  <si>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</si>
  <si>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</si>
  <si>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</si>
  <si>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</si>
  <si>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</si>
  <si>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</si>
  <si>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</si>
  <si>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</si>
  <si>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</si>
  <si>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</si>
  <si>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</si>
  <si>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</si>
  <si>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</si>
  <si>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</si>
  <si>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</si>
  <si>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</si>
  <si>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</si>
  <si>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</si>
  <si>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</si>
  <si>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</si>
  <si>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</si>
  <si>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</si>
  <si>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</si>
  <si>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</si>
  <si>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</si>
  <si>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</si>
  <si>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</si>
  <si>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</si>
  <si>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</si>
  <si>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</si>
  <si>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</si>
  <si>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</si>
  <si>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</si>
  <si>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</si>
  <si>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</si>
  <si>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</si>
  <si>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</si>
  <si>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</si>
  <si>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</si>
  <si>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</si>
  <si>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</si>
  <si>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</si>
  <si>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</si>
  <si>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</si>
  <si>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</si>
  <si>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</si>
  <si>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</si>
  <si>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</si>
  <si>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</si>
  <si>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</si>
  <si>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</si>
  <si>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</si>
  <si>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</si>
  <si>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</si>
  <si>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</si>
  <si>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</si>
  <si>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</si>
  <si>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</si>
  <si>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</si>
  <si>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</si>
  <si>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</si>
  <si>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</si>
  <si>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</si>
  <si>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</si>
  <si>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</si>
  <si>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</si>
  <si>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</si>
  <si>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</si>
  <si>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</si>
  <si>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</si>
  <si>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</si>
  <si>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</si>
  <si>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</si>
  <si>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</si>
  <si>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</si>
  <si>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</si>
  <si>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</si>
  <si>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</si>
  <si>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</si>
  <si>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</si>
  <si>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</si>
  <si>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</si>
  <si>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</si>
  <si>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</si>
  <si>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</si>
  <si>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</si>
  <si>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</si>
  <si>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</si>
  <si>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</si>
  <si>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</si>
  <si>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</si>
  <si>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</si>
  <si>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</si>
  <si>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</si>
  <si>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</si>
  <si>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</si>
  <si>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</si>
  <si>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</si>
  <si>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</si>
  <si>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</si>
  <si>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</si>
  <si>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</si>
  <si>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</si>
  <si>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</si>
  <si>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</si>
  <si>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</si>
  <si>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</si>
  <si>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</si>
  <si>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</si>
  <si>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</si>
  <si>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</si>
  <si>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</si>
  <si>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</si>
  <si>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</si>
  <si>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</si>
  <si>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</si>
  <si>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</si>
  <si>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</si>
  <si>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</si>
  <si>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</si>
  <si>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</si>
  <si>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</si>
  <si>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</si>
  <si>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</si>
  <si>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</si>
  <si>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</si>
  <si>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</si>
  <si>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</si>
  <si>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</si>
  <si>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</si>
  <si>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</si>
  <si>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</si>
  <si>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</si>
  <si>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</si>
  <si>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</si>
  <si>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</si>
  <si>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</si>
  <si>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</si>
  <si>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</si>
  <si>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</si>
  <si>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</si>
  <si>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</si>
  <si>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</si>
  <si>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</si>
  <si>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</si>
  <si>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</si>
  <si>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</si>
  <si>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</si>
  <si>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</si>
  <si>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</si>
  <si>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</si>
  <si>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</si>
  <si>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</si>
  <si>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</si>
  <si>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</si>
  <si>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</si>
  <si>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</si>
  <si>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</si>
  <si>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</si>
  <si>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</si>
  <si>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</si>
  <si>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</si>
  <si>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</si>
  <si>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</si>
  <si>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</si>
  <si>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</si>
  <si>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</si>
  <si>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</si>
  <si>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</si>
  <si>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</si>
  <si>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</si>
  <si>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</si>
  <si>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</si>
  <si>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</si>
  <si>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</si>
  <si>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</si>
  <si>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</si>
  <si>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</si>
  <si>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</si>
  <si>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</si>
  <si>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</si>
  <si>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</si>
  <si>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</si>
  <si>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</si>
  <si>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</si>
  <si>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</si>
  <si>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</si>
  <si>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</si>
  <si>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</si>
  <si>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</si>
  <si>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</si>
  <si>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</si>
  <si>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</si>
  <si>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</si>
  <si>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</si>
  <si>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</si>
  <si>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</si>
  <si>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Points Calculation</t>
  </si>
  <si>
    <t>Origination Fees</t>
  </si>
  <si>
    <t>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</si>
  <si>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</si>
  <si>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</si>
  <si>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</si>
  <si>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</si>
  <si>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</si>
  <si>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</si>
  <si>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</si>
  <si>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</si>
  <si>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</si>
  <si>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</si>
  <si>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</si>
  <si>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</si>
  <si>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</si>
  <si>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</si>
  <si>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</si>
  <si>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</si>
  <si>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</si>
  <si>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</si>
  <si>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</si>
  <si>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</si>
  <si>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</si>
  <si>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</si>
  <si>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</si>
  <si>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</si>
  <si>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</si>
  <si>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</si>
  <si>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</si>
  <si>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</si>
  <si>
    <t>Any additional lender credits</t>
  </si>
  <si>
    <t>Breakeven (in years) for actual loan</t>
  </si>
  <si>
    <t>Breakeven (in years) for modified loan</t>
  </si>
  <si>
    <t>Victory Mortgage Points Calculation</t>
  </si>
  <si>
    <t>Margin</t>
  </si>
  <si>
    <t>Rate Chart</t>
  </si>
  <si>
    <t>Preferred Rate</t>
  </si>
  <si>
    <t>New Origination Fees</t>
  </si>
  <si>
    <t>Charles Hardy, Cassandra Husser</t>
  </si>
  <si>
    <t>Contacts</t>
  </si>
  <si>
    <t>Alex Gorodinsky, Gregory Shmulevich</t>
  </si>
  <si>
    <t>USA Mortgage</t>
  </si>
  <si>
    <t>Blake Thorson, Paige Hall Ringkamp</t>
  </si>
  <si>
    <t>ELENDING GROUP LLC</t>
  </si>
  <si>
    <t>Rick Kumar</t>
  </si>
  <si>
    <t>Michael Edward Anderson, Robert Alan Heideman, Christopher Adrian Luebbers, , Ryan M Luechtefeld, Angela K Chappell</t>
  </si>
  <si>
    <t>Items to check with Lenders</t>
  </si>
  <si>
    <t>1. New Purchase - what is the process</t>
  </si>
  <si>
    <t>2. How does rate lock works?</t>
  </si>
  <si>
    <t>3. Lender credits?</t>
  </si>
  <si>
    <t>4. Get Loan Estimate</t>
  </si>
  <si>
    <t>5. Get Points rate chart</t>
  </si>
  <si>
    <t>Rate floating down available?</t>
  </si>
  <si>
    <t>What is the premium margin for rate locks?</t>
  </si>
  <si>
    <t>How early can they rate lock for a new purchase?</t>
  </si>
  <si>
    <t>What is the period for rate lock</t>
  </si>
  <si>
    <t>Any fees associated with rate lock?</t>
  </si>
  <si>
    <t>6. Will there be any maintenance fee for ESCROW?</t>
  </si>
  <si>
    <t>7. Do I need to mandatorily include the property tax and HOA in ESCROW</t>
  </si>
  <si>
    <t>Date</t>
  </si>
  <si>
    <t>Victory Mortgage</t>
  </si>
  <si>
    <t>Better.com</t>
  </si>
  <si>
    <t>BOA Mortgage</t>
  </si>
  <si>
    <t>HomeFinity</t>
  </si>
  <si>
    <t>ConsumerDirect</t>
  </si>
  <si>
    <t>ElendingGroup</t>
  </si>
  <si>
    <t>nbkc</t>
  </si>
  <si>
    <t>Points Cost</t>
  </si>
  <si>
    <t>Better.com does not lock rate now but only 75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</si>
</sst>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  <numFmt numFmtId="167" formatCode="_(&quot;$&quot;* #,##0.000_);_(&quot;$&quot;* \(#,##0.000\);_(&quot;$&quot;* &quot;-&quot;???_);_(@_)"/>
    <numFmt numFmtId="168" formatCode="0.000"/>
    <numFmt numFmtId="169" formatCode="_(* #,##0.000_);_(* \(#,##0.000\);_(* &quot;-&quot;??_);_(@_)"/>
    <numFmt numFmtId="170" formatCode="0.000%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0" fontId="0" fillId="0" borderId="0" xfId="0" applyAlignment="1">
      <alignment horizontal="left" wrapText="1"/>
    </xf>
    <xf numFmtId="167" fontId="0" fillId="0" borderId="0" xfId="0" applyNumberFormat="1"/>
    <xf numFmtId="168" fontId="0" fillId="0" borderId="0" xfId="0" applyNumberFormat="1"/>
    <xf numFmtId="169" fontId="0" fillId="0" borderId="0" xfId="4" applyNumberFormat="1" applyFont="1"/>
    <xf numFmtId="170" fontId="0" fillId="0" borderId="0" xfId="2" applyNumberFormat="1" applyFont="1"/>
    <xf numFmtId="0" fontId="2" fillId="3" borderId="1" xfId="0" applyFont="1" applyFill="1" applyBorder="1" applyAlignment="1">
      <alignment wrapText="1"/>
    </xf>
    <xf numFmtId="0" fontId="0" fillId="0" borderId="0" xfId="0" applyAlignment="1">
      <alignment horizontal="left" wrapText="1" indent="1"/>
    </xf>
    <xf numFmtId="170" fontId="3" fillId="0" borderId="0" xfId="3" applyNumberFormat="1"/>
    <xf numFmtId="0" fontId="3" fillId="0" borderId="0" xfId="3"/>
    <xf numFmtId="0" fontId="0" fillId="0" borderId="0" xfId="0" applyAlignment="1">
      <alignment horizontal="left" wrapText="1"/>
    </xf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vac/Downloads/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B14">
            <v>47</v>
          </cell>
        </row>
      </sheetData>
      <sheetData sheetId="8"/>
      <sheetData sheetId="9"/>
      <sheetData sheetId="10"/>
      <sheetData sheetId="1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IVACHARAN CHANDRASEKAR" id="{3957E83A-13C7-4D4D-983D-593C4C0D3E5B}" userId="SIVACHARAN CHANDRASEKA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2-01-31T16:45:32.66" personId="{3957E83A-13C7-4D4D-983D-593C4C0D3E5B}" id="{37A28D76-DFE4-4C0F-9EF0-69A2880DD416}">
    <text>+6211 in points</text>
  </threadedComment>
  <threadedComment ref="F3" dT="2022-01-31T16:48:23.65" personId="{3957E83A-13C7-4D4D-983D-593C4C0D3E5B}" id="{6F39DF09-45E6-4BB6-B32E-9D7803DE9536}">
    <text>.699 points = 2307</text>
  </threadedComment>
  <threadedComment ref="G3" dT="2022-01-31T16:50:28.25" personId="{3957E83A-13C7-4D4D-983D-593C4C0D3E5B}" id="{5A2D813E-D512-4EEB-BD8C-86A2BED432B7}">
    <text>3.125% for 0.403 points (1330 USD)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ww.bankofamerica.com/mortgage/mortgage-rates/" TargetMode="External"/><Relationship Id="rId7" Type="http://schemas.openxmlformats.org/officeDocument/2006/relationships/comments" Target="../comments3.xml"/><Relationship Id="rId2" Type="http://schemas.openxmlformats.org/officeDocument/2006/relationships/hyperlink" Target="https://carlsonstl.com/features/st-louis-home-loans-mortgage-interest-rates/" TargetMode="External"/><Relationship Id="rId1" Type="http://schemas.openxmlformats.org/officeDocument/2006/relationships/hyperlink" Target="https://better.com/mortgage-rates/purchase/mo/o-fallon?ficoRange%5B0%5D=760&amp;ficoRange%5B1%5D=850&amp;homeValue=480000&amp;propertyUsage=PrimaryResidence&amp;propertyType=Single%20Family&amp;loanAmount=330000&amp;zipCode=63368&amp;cashOutAmount=0&amp;selectedUnlicensedState=false&amp;firstTimeHomeBuyer=true&amp;leadSource=&amp;pricingVariant=pricing_test_6" TargetMode="External"/><Relationship Id="rId6" Type="http://schemas.openxmlformats.org/officeDocument/2006/relationships/vmlDrawing" Target="../drawings/vmlDrawing3.vml"/><Relationship Id="rId5" Type="http://schemas.openxmlformats.org/officeDocument/2006/relationships/hyperlink" Target="https://www.nbkc.com/home-loans" TargetMode="External"/><Relationship Id="rId4" Type="http://schemas.openxmlformats.org/officeDocument/2006/relationships/hyperlink" Target="https://homefinity.com/mortgage-rate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workbookViewId="0">
      <selection activeCell="B6" sqref="B6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4" max="4" width="11.625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480000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130000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330000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20</v>
      </c>
      <c r="E6" s="23" t="s">
        <v>32</v>
      </c>
      <c r="F6" s="26">
        <f>SUM(F3:F5)</f>
        <v>130000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1871.7460129313415</v>
      </c>
      <c r="C8" s="4"/>
      <c r="E8" s="23" t="s">
        <v>306</v>
      </c>
      <c r="F8" s="26">
        <f>(F6/12)*0.07</f>
        <v>758.33333333333348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449219.04310352198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119219.04310352198</v>
      </c>
      <c r="E10" s="23" t="s">
        <v>293</v>
      </c>
      <c r="F10" s="26">
        <f>(F6/12) - SUM(F7:F9)</f>
        <v>9355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84195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6260</v>
      </c>
      <c r="C12" s="15"/>
      <c r="D12" s="65"/>
      <c r="E12" s="23" t="s">
        <v>36</v>
      </c>
      <c r="F12" s="26">
        <f>F11/12</f>
        <v>7016.25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1555.1999999999998</v>
      </c>
      <c r="C13" s="4"/>
      <c r="D13" s="4"/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0.27472075677156688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2570.0126795980082</v>
      </c>
      <c r="C16" s="4"/>
      <c r="E16" s="27" t="s">
        <v>292</v>
      </c>
      <c r="F16" s="28">
        <f>((-F23)+B16)/F10</f>
        <v>0.48851017419540443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14850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0.36629434236208919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0.65134689892720599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4446.2373204019914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2446.2373204019914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32"/>
  <sheetViews>
    <sheetView workbookViewId="0">
      <selection activeCell="J17" sqref="J17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33" customWidth="1"/>
    <col min="10" max="10" width="11.125" bestFit="1" customWidth="1"/>
  </cols>
  <sheetData>
    <row r="1" spans="1:10" x14ac:dyDescent="0.2">
      <c r="A1" s="54" t="s">
        <v>313</v>
      </c>
      <c r="B1" s="51"/>
      <c r="C1" s="51"/>
      <c r="D1" s="51"/>
      <c r="E1" s="54" t="s">
        <v>314</v>
      </c>
      <c r="F1" s="51"/>
      <c r="G1" s="51"/>
      <c r="H1" s="51"/>
      <c r="I1" s="51"/>
      <c r="J1" s="51"/>
    </row>
    <row r="2" spans="1:10" x14ac:dyDescent="0.2">
      <c r="A2" s="51" t="s">
        <v>24</v>
      </c>
      <c r="B2" s="55">
        <f>'Monthly Payment'!B2</f>
        <v>480000</v>
      </c>
      <c r="C2" s="51"/>
      <c r="D2" s="51"/>
      <c r="E2" s="54"/>
      <c r="F2" s="51"/>
      <c r="G2" s="51"/>
      <c r="H2" s="51"/>
      <c r="I2" s="51"/>
      <c r="J2" s="51"/>
    </row>
    <row r="3" spans="1:10" x14ac:dyDescent="0.2">
      <c r="A3" s="51" t="s">
        <v>319</v>
      </c>
      <c r="B3" s="55">
        <f>'Monthly Payment'!B3</f>
        <v>150000</v>
      </c>
      <c r="C3" s="51"/>
      <c r="D3" s="51"/>
      <c r="E3" s="51" t="s">
        <v>24</v>
      </c>
      <c r="F3" s="55">
        <f>'Monthly Payment'!$B$2</f>
        <v>480000</v>
      </c>
      <c r="G3" s="51"/>
      <c r="H3" s="51"/>
      <c r="I3" s="51"/>
      <c r="J3" s="51"/>
    </row>
    <row r="4" spans="1:10" x14ac:dyDescent="0.2">
      <c r="A4" s="51" t="s">
        <v>320</v>
      </c>
      <c r="B4" s="52">
        <f>'Monthly Payment'!B3+F11</f>
        <v>151313.4</v>
      </c>
      <c r="C4" s="51"/>
      <c r="D4" s="51"/>
      <c r="E4" s="51" t="s">
        <v>25</v>
      </c>
      <c r="F4" s="52">
        <f>'Monthly Payment'!$B$3</f>
        <v>150000</v>
      </c>
      <c r="G4" s="51"/>
      <c r="H4" s="51"/>
      <c r="I4" s="51"/>
      <c r="J4" s="51"/>
    </row>
    <row r="5" spans="1:10" x14ac:dyDescent="0.2">
      <c r="A5" s="51" t="s">
        <v>346</v>
      </c>
      <c r="B5" s="52">
        <v>0</v>
      </c>
      <c r="C5" s="51"/>
      <c r="D5" s="51"/>
      <c r="E5" s="51" t="s">
        <v>27</v>
      </c>
      <c r="F5" s="52">
        <f>'Monthly Payment'!$B$4</f>
        <v>330000</v>
      </c>
      <c r="G5" s="51"/>
      <c r="H5" s="51"/>
      <c r="I5" s="51"/>
      <c r="J5" s="51"/>
    </row>
    <row r="6" spans="1:10" x14ac:dyDescent="0.2">
      <c r="A6" s="51" t="s">
        <v>27</v>
      </c>
      <c r="B6" s="52">
        <f>B2-B4-B5</f>
        <v>328686.59999999998</v>
      </c>
      <c r="C6" s="51"/>
      <c r="D6" s="51"/>
      <c r="E6" s="51" t="s">
        <v>29</v>
      </c>
      <c r="F6" s="56">
        <f>'Monthly Payment'!$B$5</f>
        <v>3.2500000000000001E-2</v>
      </c>
      <c r="G6" s="51"/>
      <c r="H6" s="51"/>
      <c r="I6" s="51"/>
      <c r="J6" s="51"/>
    </row>
    <row r="7" spans="1:10" x14ac:dyDescent="0.2">
      <c r="A7" s="51" t="s">
        <v>29</v>
      </c>
      <c r="B7" s="56">
        <f>'Monthly Payment'!B5</f>
        <v>3.2500000000000001E-2</v>
      </c>
      <c r="C7" s="51"/>
      <c r="D7" s="51"/>
      <c r="E7" s="51" t="s">
        <v>31</v>
      </c>
      <c r="F7" s="57">
        <f>'Monthly Payment'!$B$6</f>
        <v>20</v>
      </c>
      <c r="G7" s="51"/>
      <c r="H7" s="51"/>
      <c r="I7" s="51" t="s">
        <v>347</v>
      </c>
      <c r="J7" s="62">
        <f>(F11/('Monthly Payment'!B8-F15))/12</f>
        <v>5.2479939847982253</v>
      </c>
    </row>
    <row r="8" spans="1:10" x14ac:dyDescent="0.2">
      <c r="A8" s="51" t="s">
        <v>31</v>
      </c>
      <c r="B8" s="57">
        <f>'Monthly Payment'!B6</f>
        <v>20</v>
      </c>
      <c r="C8" s="51"/>
      <c r="D8" s="51"/>
      <c r="E8" s="51" t="s">
        <v>33</v>
      </c>
      <c r="F8" s="51">
        <f>'Monthly Payment'!$B$7</f>
        <v>12</v>
      </c>
      <c r="G8" s="51"/>
      <c r="H8" s="51"/>
      <c r="I8" s="51" t="s">
        <v>348</v>
      </c>
      <c r="J8" s="62">
        <f>(F11/(B18-F15))/12</f>
        <v>8.1642311837425527</v>
      </c>
    </row>
    <row r="9" spans="1:10" x14ac:dyDescent="0.2">
      <c r="A9" s="51" t="s">
        <v>33</v>
      </c>
      <c r="B9" s="51">
        <f>'Monthly Payment'!B7</f>
        <v>12</v>
      </c>
      <c r="C9" s="51"/>
      <c r="D9" s="51"/>
      <c r="E9" s="51"/>
      <c r="F9" s="51"/>
      <c r="G9" s="51"/>
      <c r="H9" s="51"/>
      <c r="I9" s="51"/>
      <c r="J9" s="51"/>
    </row>
    <row r="10" spans="1:10" x14ac:dyDescent="0.2">
      <c r="A10" s="51"/>
      <c r="B10" s="51"/>
      <c r="C10" s="51"/>
      <c r="D10" s="51"/>
      <c r="E10" s="54" t="s">
        <v>315</v>
      </c>
      <c r="F10" s="51"/>
      <c r="G10" s="51"/>
      <c r="H10" s="51"/>
      <c r="I10" s="51"/>
      <c r="J10" s="51"/>
    </row>
    <row r="11" spans="1:10" x14ac:dyDescent="0.2">
      <c r="A11" s="51"/>
      <c r="B11" s="51"/>
      <c r="C11" s="51"/>
      <c r="D11" s="51"/>
      <c r="E11" s="51" t="s">
        <v>316</v>
      </c>
      <c r="F11" s="55">
        <f>J18</f>
        <v>1313.3999999999874</v>
      </c>
      <c r="G11" s="51"/>
      <c r="H11" s="51"/>
      <c r="I11" s="51"/>
      <c r="J11" s="51"/>
    </row>
    <row r="12" spans="1:10" x14ac:dyDescent="0.2">
      <c r="A12" s="51"/>
      <c r="B12" s="51"/>
      <c r="C12" s="51"/>
      <c r="D12" s="51"/>
      <c r="E12" s="51" t="s">
        <v>317</v>
      </c>
      <c r="F12" s="63">
        <f>F11/(0.01*F5)</f>
        <v>0.39799999999999619</v>
      </c>
      <c r="G12" s="51"/>
      <c r="H12" s="51"/>
      <c r="I12" s="51"/>
      <c r="J12" s="51"/>
    </row>
    <row r="13" spans="1:10" x14ac:dyDescent="0.2">
      <c r="A13" s="51"/>
      <c r="B13" s="51"/>
      <c r="C13" s="51"/>
      <c r="D13" s="51"/>
      <c r="E13" s="51" t="s">
        <v>318</v>
      </c>
      <c r="F13" s="68">
        <f>J16/100</f>
        <v>3.125E-2</v>
      </c>
      <c r="G13" s="51"/>
      <c r="H13" s="51"/>
      <c r="I13" s="51"/>
      <c r="J13" s="51"/>
    </row>
    <row r="14" spans="1:10" x14ac:dyDescent="0.2">
      <c r="A14" s="51"/>
      <c r="B14" s="51"/>
      <c r="C14" s="51"/>
      <c r="D14" s="51"/>
      <c r="E14" s="51"/>
      <c r="F14" s="51"/>
      <c r="G14" s="51"/>
      <c r="H14" s="51"/>
      <c r="I14" s="51" t="s">
        <v>349</v>
      </c>
      <c r="J14" s="51"/>
    </row>
    <row r="15" spans="1:10" x14ac:dyDescent="0.2">
      <c r="A15" s="51"/>
      <c r="B15" s="51"/>
      <c r="C15" s="51"/>
      <c r="D15" s="51"/>
      <c r="E15" s="51" t="s">
        <v>35</v>
      </c>
      <c r="F15" s="52">
        <f>-PMT(F13/F8,F8*F7,F5)</f>
        <v>1850.8904250024984</v>
      </c>
      <c r="G15" s="51"/>
      <c r="H15" s="51"/>
      <c r="I15" s="51" t="s">
        <v>350</v>
      </c>
      <c r="J15" s="67">
        <v>101.75</v>
      </c>
    </row>
    <row r="16" spans="1:10" x14ac:dyDescent="0.2">
      <c r="A16" s="51"/>
      <c r="B16" s="51"/>
      <c r="C16" s="51"/>
      <c r="D16" s="51"/>
      <c r="E16" s="51" t="s">
        <v>37</v>
      </c>
      <c r="F16" s="52">
        <f>F15*F8*F7</f>
        <v>444213.70200059959</v>
      </c>
      <c r="G16" s="51"/>
      <c r="H16" s="51"/>
      <c r="I16" s="51" t="s">
        <v>352</v>
      </c>
      <c r="J16" s="67">
        <v>3.125</v>
      </c>
    </row>
    <row r="17" spans="1:10" x14ac:dyDescent="0.2">
      <c r="A17" s="51"/>
      <c r="B17" s="51"/>
      <c r="C17" s="51"/>
      <c r="D17" s="51"/>
      <c r="E17" s="51" t="s">
        <v>38</v>
      </c>
      <c r="F17" s="52">
        <f>F16-F5</f>
        <v>114213.70200059959</v>
      </c>
      <c r="G17" s="51"/>
      <c r="H17" s="51"/>
      <c r="I17" s="51" t="s">
        <v>317</v>
      </c>
      <c r="J17" s="67">
        <f>J15 - VLOOKUP($J$16,$I$21:$J$32,2,FALSE)</f>
        <v>0.39799999999999613</v>
      </c>
    </row>
    <row r="18" spans="1:10" x14ac:dyDescent="0.2">
      <c r="A18" s="51" t="s">
        <v>35</v>
      </c>
      <c r="B18" s="52">
        <f>-PMT(B7/B9,B9*B8,B6)</f>
        <v>1864.2964637998743</v>
      </c>
      <c r="C18" s="51"/>
      <c r="D18" s="51"/>
      <c r="E18" s="51"/>
      <c r="F18" s="52"/>
      <c r="G18" s="51"/>
      <c r="H18" s="51"/>
      <c r="I18" s="51" t="s">
        <v>353</v>
      </c>
      <c r="J18" s="67">
        <f>J17*(0.01*F5)</f>
        <v>1313.3999999999874</v>
      </c>
    </row>
    <row r="19" spans="1:10" x14ac:dyDescent="0.2">
      <c r="A19" s="51" t="s">
        <v>37</v>
      </c>
      <c r="B19" s="52">
        <f>B18*B9*B8</f>
        <v>447431.15131196985</v>
      </c>
      <c r="C19" s="51"/>
      <c r="D19" s="51"/>
      <c r="E19" s="51" t="s">
        <v>41</v>
      </c>
      <c r="F19" s="58">
        <f>B22</f>
        <v>6260</v>
      </c>
      <c r="G19" s="51"/>
      <c r="H19" s="51"/>
      <c r="I19" s="51"/>
      <c r="J19" s="51"/>
    </row>
    <row r="20" spans="1:10" x14ac:dyDescent="0.2">
      <c r="A20" s="51" t="s">
        <v>38</v>
      </c>
      <c r="B20" s="52">
        <f>B19-B6</f>
        <v>118744.55131196987</v>
      </c>
      <c r="C20" s="51"/>
      <c r="D20" s="51"/>
      <c r="E20" s="51" t="s">
        <v>42</v>
      </c>
      <c r="F20" s="58">
        <f>B23</f>
        <v>1555.1999999999998</v>
      </c>
      <c r="G20" s="51"/>
      <c r="H20" s="51"/>
      <c r="I20" s="51" t="s">
        <v>351</v>
      </c>
      <c r="J20" s="51"/>
    </row>
    <row r="21" spans="1:10" x14ac:dyDescent="0.2">
      <c r="A21" s="51"/>
      <c r="B21" s="52" t="str">
        <f>'Monthly Payment'!B11</f>
        <v xml:space="preserve"> </v>
      </c>
      <c r="C21" s="51"/>
      <c r="D21" s="51"/>
      <c r="E21" s="51" t="s">
        <v>44</v>
      </c>
      <c r="F21" s="58">
        <f>'[1]Monthly Payment'!B14</f>
        <v>47</v>
      </c>
      <c r="G21" s="51"/>
      <c r="H21" s="51"/>
      <c r="I21" s="66">
        <v>2.25</v>
      </c>
      <c r="J21" s="66">
        <v>96.004999999999995</v>
      </c>
    </row>
    <row r="22" spans="1:10" x14ac:dyDescent="0.2">
      <c r="A22" s="51" t="s">
        <v>41</v>
      </c>
      <c r="B22" s="58">
        <f>'Monthly Payment'!B12</f>
        <v>6260</v>
      </c>
      <c r="C22" s="51"/>
      <c r="D22" s="51"/>
      <c r="E22" s="51"/>
      <c r="F22" s="52"/>
      <c r="G22" s="51"/>
      <c r="H22" s="51"/>
      <c r="I22" s="66">
        <v>2.375</v>
      </c>
      <c r="J22" s="66">
        <v>96.75</v>
      </c>
    </row>
    <row r="23" spans="1:10" x14ac:dyDescent="0.2">
      <c r="A23" s="51" t="s">
        <v>42</v>
      </c>
      <c r="B23" s="58">
        <f>'Monthly Payment'!B13</f>
        <v>1555.1999999999998</v>
      </c>
      <c r="C23" s="51"/>
      <c r="D23" s="51"/>
      <c r="E23" s="54" t="s">
        <v>47</v>
      </c>
      <c r="F23" s="61">
        <f>SUM(F15,F19/12,F20/12,F21)</f>
        <v>2549.1570916691649</v>
      </c>
      <c r="G23" s="51"/>
      <c r="H23" s="51"/>
      <c r="I23" s="66">
        <v>2.4900000000000002</v>
      </c>
      <c r="J23" s="66">
        <v>97.42</v>
      </c>
    </row>
    <row r="24" spans="1:10" x14ac:dyDescent="0.2">
      <c r="A24" s="51" t="s">
        <v>44</v>
      </c>
      <c r="B24" s="58">
        <f>'Monthly Payment'!B14</f>
        <v>47</v>
      </c>
      <c r="C24" s="51"/>
      <c r="D24" s="51"/>
      <c r="E24" s="51"/>
      <c r="F24" s="51"/>
      <c r="G24" s="51"/>
      <c r="H24" s="51"/>
      <c r="I24" s="66">
        <v>2.5</v>
      </c>
      <c r="J24" s="66">
        <v>97.477000000000004</v>
      </c>
    </row>
    <row r="25" spans="1:10" x14ac:dyDescent="0.2">
      <c r="A25" s="51"/>
      <c r="B25" s="52"/>
      <c r="C25" s="51"/>
      <c r="D25" s="51"/>
      <c r="E25" s="59" t="s">
        <v>48</v>
      </c>
      <c r="F25" s="60">
        <f>F5*0.045</f>
        <v>14850</v>
      </c>
      <c r="G25" s="51"/>
      <c r="H25" s="51"/>
      <c r="I25" s="66">
        <v>2.625</v>
      </c>
      <c r="J25" s="66">
        <v>98.438999999999993</v>
      </c>
    </row>
    <row r="26" spans="1:10" x14ac:dyDescent="0.2">
      <c r="A26" s="54" t="s">
        <v>47</v>
      </c>
      <c r="B26" s="61">
        <f>SUM(B18,B22/12,B23/12,B24)</f>
        <v>2562.5631304665408</v>
      </c>
      <c r="C26" s="51"/>
      <c r="D26" s="51"/>
      <c r="G26" s="51"/>
      <c r="H26" s="51"/>
      <c r="I26" s="66">
        <v>2.75</v>
      </c>
      <c r="J26" s="66">
        <v>99.313999999999993</v>
      </c>
    </row>
    <row r="27" spans="1:10" x14ac:dyDescent="0.2">
      <c r="A27" s="51"/>
      <c r="B27" s="51"/>
      <c r="C27" s="51"/>
      <c r="D27" s="51"/>
      <c r="G27" s="51"/>
      <c r="H27" s="51"/>
      <c r="I27" s="66">
        <v>2.875</v>
      </c>
      <c r="J27" s="66">
        <v>99.995000000000005</v>
      </c>
    </row>
    <row r="28" spans="1:10" x14ac:dyDescent="0.2">
      <c r="A28" s="59" t="s">
        <v>48</v>
      </c>
      <c r="B28" s="60">
        <f>B6*0.045</f>
        <v>14790.896999999999</v>
      </c>
      <c r="I28" s="66">
        <v>2.99</v>
      </c>
      <c r="J28" s="66">
        <v>100.55</v>
      </c>
    </row>
    <row r="29" spans="1:10" x14ac:dyDescent="0.2">
      <c r="I29" s="66">
        <v>3</v>
      </c>
      <c r="J29" s="66">
        <v>100.59699999999999</v>
      </c>
    </row>
    <row r="30" spans="1:10" x14ac:dyDescent="0.2">
      <c r="I30" s="66">
        <v>3.125</v>
      </c>
      <c r="J30" s="66">
        <v>101.352</v>
      </c>
    </row>
    <row r="31" spans="1:10" x14ac:dyDescent="0.2">
      <c r="I31" s="66">
        <v>3.25</v>
      </c>
      <c r="J31" s="66">
        <v>101.994</v>
      </c>
    </row>
    <row r="32" spans="1:10" x14ac:dyDescent="0.2">
      <c r="I32" s="66">
        <v>3.375</v>
      </c>
      <c r="J32" s="66">
        <v>102.577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D32"/>
  <sheetViews>
    <sheetView tabSelected="1" workbookViewId="0">
      <selection activeCell="C17" sqref="C17"/>
    </sheetView>
  </sheetViews>
  <sheetFormatPr defaultRowHeight="14.25" x14ac:dyDescent="0.2"/>
  <cols>
    <col min="1" max="1" width="97.875" style="53" customWidth="1"/>
    <col min="2" max="2" width="32.125" customWidth="1"/>
    <col min="3" max="3" width="17.875" customWidth="1"/>
    <col min="4" max="4" width="81.375" style="53" customWidth="1"/>
  </cols>
  <sheetData>
    <row r="1" spans="1:4" x14ac:dyDescent="0.2">
      <c r="A1" s="53" t="s">
        <v>321</v>
      </c>
      <c r="C1" s="50" t="s">
        <v>338</v>
      </c>
      <c r="D1" s="69" t="s">
        <v>355</v>
      </c>
    </row>
    <row r="2" spans="1:4" x14ac:dyDescent="0.2">
      <c r="A2" s="53" t="s">
        <v>322</v>
      </c>
      <c r="B2" s="73" t="s">
        <v>325</v>
      </c>
      <c r="C2" s="21" t="s">
        <v>339</v>
      </c>
      <c r="D2" s="30"/>
    </row>
    <row r="3" spans="1:4" ht="28.5" x14ac:dyDescent="0.2">
      <c r="A3" s="53" t="s">
        <v>323</v>
      </c>
      <c r="B3" s="73"/>
      <c r="C3" s="21" t="s">
        <v>340</v>
      </c>
      <c r="D3" s="30"/>
    </row>
    <row r="4" spans="1:4" x14ac:dyDescent="0.2">
      <c r="A4" s="53" t="s">
        <v>324</v>
      </c>
      <c r="B4" s="73"/>
      <c r="C4" s="21" t="s">
        <v>341</v>
      </c>
      <c r="D4" s="30" t="s">
        <v>356</v>
      </c>
    </row>
    <row r="5" spans="1:4" ht="28.5" x14ac:dyDescent="0.2">
      <c r="A5" s="53" t="s">
        <v>326</v>
      </c>
      <c r="C5" s="21" t="s">
        <v>342</v>
      </c>
      <c r="D5" s="30" t="s">
        <v>361</v>
      </c>
    </row>
    <row r="6" spans="1:4" x14ac:dyDescent="0.2">
      <c r="A6" s="64" t="s">
        <v>327</v>
      </c>
      <c r="C6" s="21" t="s">
        <v>343</v>
      </c>
      <c r="D6" s="30" t="s">
        <v>354</v>
      </c>
    </row>
    <row r="7" spans="1:4" x14ac:dyDescent="0.2">
      <c r="A7" s="64" t="s">
        <v>328</v>
      </c>
      <c r="C7" s="21" t="s">
        <v>357</v>
      </c>
      <c r="D7" s="30" t="s">
        <v>358</v>
      </c>
    </row>
    <row r="8" spans="1:4" ht="28.5" x14ac:dyDescent="0.2">
      <c r="A8" s="64" t="s">
        <v>329</v>
      </c>
      <c r="C8" s="21" t="s">
        <v>359</v>
      </c>
      <c r="D8" s="30" t="s">
        <v>360</v>
      </c>
    </row>
    <row r="9" spans="1:4" x14ac:dyDescent="0.2">
      <c r="A9" s="64" t="s">
        <v>330</v>
      </c>
      <c r="C9" s="21" t="s">
        <v>344</v>
      </c>
      <c r="D9" s="30"/>
    </row>
    <row r="10" spans="1:4" x14ac:dyDescent="0.2">
      <c r="A10" s="64" t="s">
        <v>331</v>
      </c>
      <c r="C10" s="21" t="s">
        <v>345</v>
      </c>
      <c r="D10" s="30"/>
    </row>
    <row r="11" spans="1:4" x14ac:dyDescent="0.2">
      <c r="A11" s="64" t="s">
        <v>332</v>
      </c>
    </row>
    <row r="12" spans="1:4" x14ac:dyDescent="0.2">
      <c r="A12" s="64" t="s">
        <v>333</v>
      </c>
    </row>
    <row r="13" spans="1:4" x14ac:dyDescent="0.2">
      <c r="A13" s="64" t="s">
        <v>334</v>
      </c>
    </row>
    <row r="14" spans="1:4" x14ac:dyDescent="0.2">
      <c r="A14" s="64" t="s">
        <v>335</v>
      </c>
    </row>
    <row r="15" spans="1:4" x14ac:dyDescent="0.2">
      <c r="A15" s="64" t="s">
        <v>336</v>
      </c>
    </row>
    <row r="16" spans="1:4" ht="28.5" x14ac:dyDescent="0.2">
      <c r="A16" s="64" t="s">
        <v>337</v>
      </c>
      <c r="C16" t="s">
        <v>384</v>
      </c>
    </row>
    <row r="20" spans="1:2" x14ac:dyDescent="0.2">
      <c r="A20" s="53" t="s">
        <v>362</v>
      </c>
    </row>
    <row r="21" spans="1:2" x14ac:dyDescent="0.2">
      <c r="A21" s="53" t="s">
        <v>363</v>
      </c>
    </row>
    <row r="22" spans="1:2" x14ac:dyDescent="0.2">
      <c r="A22" s="53" t="s">
        <v>364</v>
      </c>
    </row>
    <row r="23" spans="1:2" x14ac:dyDescent="0.2">
      <c r="A23" s="70" t="s">
        <v>368</v>
      </c>
    </row>
    <row r="24" spans="1:2" x14ac:dyDescent="0.2">
      <c r="A24" s="70" t="s">
        <v>369</v>
      </c>
    </row>
    <row r="25" spans="1:2" x14ac:dyDescent="0.2">
      <c r="A25" s="70" t="s">
        <v>370</v>
      </c>
    </row>
    <row r="26" spans="1:2" x14ac:dyDescent="0.2">
      <c r="A26" s="70" t="s">
        <v>371</v>
      </c>
    </row>
    <row r="27" spans="1:2" x14ac:dyDescent="0.2">
      <c r="A27" s="70" t="s">
        <v>372</v>
      </c>
      <c r="B27" s="10">
        <v>200</v>
      </c>
    </row>
    <row r="28" spans="1:2" x14ac:dyDescent="0.2">
      <c r="A28" s="53" t="s">
        <v>365</v>
      </c>
    </row>
    <row r="29" spans="1:2" x14ac:dyDescent="0.2">
      <c r="A29" s="53" t="s">
        <v>366</v>
      </c>
    </row>
    <row r="30" spans="1:2" x14ac:dyDescent="0.2">
      <c r="A30" s="53" t="s">
        <v>367</v>
      </c>
    </row>
    <row r="31" spans="1:2" x14ac:dyDescent="0.2">
      <c r="A31" s="53" t="s">
        <v>373</v>
      </c>
    </row>
    <row r="32" spans="1:2" x14ac:dyDescent="0.2">
      <c r="A32" s="53" t="s">
        <v>374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EF4F-CD8A-43B1-BE38-BC54C457B7F4}">
  <dimension ref="A1:N23"/>
  <sheetViews>
    <sheetView workbookViewId="0">
      <selection activeCell="D3" sqref="D3"/>
    </sheetView>
  </sheetViews>
  <sheetFormatPr defaultRowHeight="14.25" x14ac:dyDescent="0.2"/>
  <cols>
    <col min="1" max="1" width="12.125" style="1" bestFit="1" customWidth="1"/>
    <col min="2" max="2" width="15" style="68" bestFit="1" customWidth="1"/>
    <col min="3" max="3" width="15.125" style="68" bestFit="1" customWidth="1"/>
    <col min="4" max="4" width="9.875" style="68" bestFit="1" customWidth="1"/>
    <col min="5" max="5" width="15.5" style="68" bestFit="1" customWidth="1"/>
    <col min="6" max="6" width="13.25" style="68" bestFit="1" customWidth="1"/>
    <col min="7" max="7" width="10.125" style="68" bestFit="1" customWidth="1"/>
    <col min="8" max="8" width="14.25" style="68" bestFit="1" customWidth="1"/>
    <col min="9" max="9" width="13.125" style="68" bestFit="1" customWidth="1"/>
    <col min="13" max="13" width="11.75" bestFit="1" customWidth="1"/>
  </cols>
  <sheetData>
    <row r="1" spans="1:14" x14ac:dyDescent="0.2">
      <c r="A1" s="1" t="s">
        <v>375</v>
      </c>
      <c r="B1" s="68" t="s">
        <v>376</v>
      </c>
      <c r="C1" s="68" t="s">
        <v>342</v>
      </c>
      <c r="D1" s="71" t="s">
        <v>377</v>
      </c>
      <c r="E1" s="71" t="s">
        <v>341</v>
      </c>
      <c r="F1" s="71" t="s">
        <v>378</v>
      </c>
      <c r="G1" s="71" t="s">
        <v>379</v>
      </c>
      <c r="H1" s="68" t="s">
        <v>380</v>
      </c>
      <c r="I1" s="68" t="s">
        <v>381</v>
      </c>
      <c r="J1" s="72" t="s">
        <v>382</v>
      </c>
    </row>
    <row r="2" spans="1:14" x14ac:dyDescent="0.2">
      <c r="A2" s="1">
        <v>44590</v>
      </c>
      <c r="D2" s="68">
        <v>3.2500000000000001E-2</v>
      </c>
      <c r="E2" s="68">
        <v>2.8750000000000001E-2</v>
      </c>
      <c r="F2" s="68">
        <v>0.03</v>
      </c>
      <c r="G2" s="68">
        <v>3.2500000000000001E-2</v>
      </c>
      <c r="H2" s="68">
        <v>3.2500000000000001E-2</v>
      </c>
      <c r="J2" s="68">
        <v>3.49E-2</v>
      </c>
      <c r="M2" t="s">
        <v>27</v>
      </c>
      <c r="N2">
        <f>480000-150000</f>
        <v>330000</v>
      </c>
    </row>
    <row r="3" spans="1:14" x14ac:dyDescent="0.2">
      <c r="A3" s="1">
        <v>44591</v>
      </c>
      <c r="D3" s="68">
        <v>0.03</v>
      </c>
      <c r="E3" s="68">
        <v>2.8750000000000001E-2</v>
      </c>
      <c r="F3" s="68">
        <v>0.03</v>
      </c>
      <c r="G3" s="68">
        <v>3.2500000000000001E-2</v>
      </c>
      <c r="J3" s="68">
        <v>3.49E-2</v>
      </c>
      <c r="M3" t="s">
        <v>317</v>
      </c>
      <c r="N3">
        <v>0.40300000000000002</v>
      </c>
    </row>
    <row r="4" spans="1:14" x14ac:dyDescent="0.2">
      <c r="A4" s="1">
        <v>44592</v>
      </c>
      <c r="M4" t="s">
        <v>383</v>
      </c>
      <c r="N4">
        <f>N3*N2*0.01</f>
        <v>1329.9</v>
      </c>
    </row>
    <row r="5" spans="1:14" x14ac:dyDescent="0.2">
      <c r="A5" s="1">
        <v>44593</v>
      </c>
    </row>
    <row r="6" spans="1:14" x14ac:dyDescent="0.2">
      <c r="A6" s="1">
        <v>44594</v>
      </c>
    </row>
    <row r="7" spans="1:14" x14ac:dyDescent="0.2">
      <c r="A7" s="1">
        <v>44595</v>
      </c>
    </row>
    <row r="8" spans="1:14" x14ac:dyDescent="0.2">
      <c r="A8" s="1">
        <v>44596</v>
      </c>
    </row>
    <row r="9" spans="1:14" x14ac:dyDescent="0.2">
      <c r="A9" s="1">
        <v>44597</v>
      </c>
    </row>
    <row r="10" spans="1:14" x14ac:dyDescent="0.2">
      <c r="A10" s="1">
        <v>44598</v>
      </c>
    </row>
    <row r="11" spans="1:14" x14ac:dyDescent="0.2">
      <c r="A11" s="1">
        <v>44599</v>
      </c>
    </row>
    <row r="12" spans="1:14" x14ac:dyDescent="0.2">
      <c r="A12" s="1">
        <v>44600</v>
      </c>
    </row>
    <row r="13" spans="1:14" x14ac:dyDescent="0.2">
      <c r="A13" s="1">
        <v>44601</v>
      </c>
    </row>
    <row r="14" spans="1:14" x14ac:dyDescent="0.2">
      <c r="A14" s="1">
        <v>44602</v>
      </c>
    </row>
    <row r="15" spans="1:14" x14ac:dyDescent="0.2">
      <c r="A15" s="1">
        <v>44603</v>
      </c>
    </row>
    <row r="16" spans="1:14" x14ac:dyDescent="0.2">
      <c r="A16" s="1">
        <v>44604</v>
      </c>
    </row>
    <row r="17" spans="1:1" x14ac:dyDescent="0.2">
      <c r="A17" s="1">
        <v>44605</v>
      </c>
    </row>
    <row r="18" spans="1:1" x14ac:dyDescent="0.2">
      <c r="A18" s="1">
        <v>44606</v>
      </c>
    </row>
    <row r="19" spans="1:1" x14ac:dyDescent="0.2">
      <c r="A19" s="1">
        <v>44607</v>
      </c>
    </row>
    <row r="20" spans="1:1" x14ac:dyDescent="0.2">
      <c r="A20" s="1">
        <v>44608</v>
      </c>
    </row>
    <row r="21" spans="1:1" x14ac:dyDescent="0.2">
      <c r="A21" s="1">
        <v>44609</v>
      </c>
    </row>
    <row r="22" spans="1:1" x14ac:dyDescent="0.2">
      <c r="A22" s="1">
        <v>44610</v>
      </c>
    </row>
    <row r="23" spans="1:1" x14ac:dyDescent="0.2">
      <c r="A23" s="1">
        <v>44611</v>
      </c>
    </row>
  </sheetData>
  <hyperlinks>
    <hyperlink ref="D1" r:id="rId1" xr:uid="{27465F47-85DD-4F0D-AA17-77538DCAB7C5}"/>
    <hyperlink ref="E1" r:id="rId2" xr:uid="{D12CBFA3-E409-48ED-8B2B-904C7617845E}"/>
    <hyperlink ref="F1" r:id="rId3" xr:uid="{2C2B3A61-BFAD-4745-ABF2-31D7CAEEDC36}"/>
    <hyperlink ref="G1" r:id="rId4" xr:uid="{9F014D9E-A5BC-43AD-A15E-F46B03F49793}"/>
    <hyperlink ref="J1" r:id="rId5" location="ratesResults" xr:uid="{7F85A296-2A8A-405F-B1C8-CE1BD76E7926}"/>
  </hyperlinks>
  <pageMargins left="0.7" right="0.7" top="0.75" bottom="0.75" header="0.3" footer="0.3"/>
  <legacy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Lender Rates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2022-01-31T20:29:12Z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2022-01-24T22:36:08Z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4f2f1a4c-0002-4ea3-8702-00fd1126a075</vt:lpwstr>
  </property>
  <property fmtid="{D5CDD505-2E9C-101B-9397-08002B2CF9AE}" pid="8" name="MSIP_Label_2c76c141-ac86-40e5-abf2-c6f60e474cee_ContentBits">
    <vt:lpwstr>2</vt:lpwstr>
  </property>
</Properties>
</file>