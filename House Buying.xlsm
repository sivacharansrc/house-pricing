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ivac\Documents\Analytics\house-pricing\"/>
    </mc:Choice>
  </mc:AlternateContent>
  <xr:revisionPtr revIDLastSave="0" documentId="13_ncr:1_{AF31F61C-8B18-4A06-ABE3-AA8AF43389A5}" xr6:coauthVersionLast="47" xr6:coauthVersionMax="47" xr10:uidLastSave="{00000000-0000-0000-0000-000000000000}"/>
  <bookViews>
    <workbookView xWindow="-120" yWindow="-120" windowWidth="51840" windowHeight="21120" activeTab="8" xr2:uid="{A77688EE-CB42-48F9-98F0-7996490F61DA}"/>
  </bookViews>
  <sheets>
    <sheet name="Info" sheetId="2" r:id="rId1"/>
    <sheet name="House Sales Tracking" sheetId="8" state="hidden" r:id="rId2"/>
    <sheet name="Grover Houses" sheetId="9" state="hidden" r:id="rId3"/>
    <sheet name="Fenton House" sheetId="10" r:id="rId4"/>
    <sheet name="Monthly Payment" sheetId="6" r:id="rId5"/>
    <sheet name="Points Analysis" sheetId="12" r:id="rId6"/>
    <sheet name="Lender Analysis" sheetId="13" r:id="rId7"/>
    <sheet name="Lender Rates" sheetId="14" r:id="rId8"/>
    <sheet name="Mortgage Rate Historic Data" sheetId="15" r:id="rId9"/>
    <sheet name="Upgrades Cost" sheetId="11" r:id="rId10"/>
  </sheets>
  <externalReferences>
    <externalReference r:id="rId11"/>
  </externalReferences>
  <definedNames>
    <definedName name="_xlnm._FilterDatabase" localSheetId="3" hidden="1">'Fenton House'!$A$1:$E$13</definedName>
    <definedName name="_xlnm._FilterDatabase" localSheetId="2" hidden="1">'Grover Houses'!$A$1:$N$100</definedName>
  </definedNames>
  <calcPr calcId="181029"/>
  <pivotCaches>
    <pivotCache cacheId="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5" l="1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E137" i="15"/>
  <c r="E138" i="15"/>
  <c r="E139" i="15"/>
  <c r="E140" i="15"/>
  <c r="E141" i="15"/>
  <c r="E142" i="15"/>
  <c r="E143" i="15"/>
  <c r="E144" i="15"/>
  <c r="E145" i="15"/>
  <c r="E146" i="15"/>
  <c r="E147" i="15"/>
  <c r="E148" i="15"/>
  <c r="E149" i="15"/>
  <c r="E150" i="15"/>
  <c r="E151" i="15"/>
  <c r="E152" i="15"/>
  <c r="E153" i="15"/>
  <c r="E154" i="15"/>
  <c r="E155" i="15"/>
  <c r="E156" i="15"/>
  <c r="E157" i="15"/>
  <c r="E158" i="15"/>
  <c r="E159" i="15"/>
  <c r="E160" i="15"/>
  <c r="E161" i="15"/>
  <c r="E162" i="15"/>
  <c r="E163" i="15"/>
  <c r="E164" i="15"/>
  <c r="E165" i="15"/>
  <c r="E166" i="15"/>
  <c r="E167" i="15"/>
  <c r="E168" i="15"/>
  <c r="E169" i="15"/>
  <c r="E170" i="15"/>
  <c r="E171" i="15"/>
  <c r="E172" i="15"/>
  <c r="E173" i="15"/>
  <c r="E174" i="15"/>
  <c r="E175" i="15"/>
  <c r="E176" i="15"/>
  <c r="E177" i="15"/>
  <c r="E178" i="15"/>
  <c r="E179" i="15"/>
  <c r="E180" i="15"/>
  <c r="E181" i="15"/>
  <c r="E182" i="15"/>
  <c r="E183" i="15"/>
  <c r="E184" i="15"/>
  <c r="E185" i="15"/>
  <c r="E186" i="15"/>
  <c r="E187" i="15"/>
  <c r="E188" i="15"/>
  <c r="E189" i="15"/>
  <c r="E190" i="15"/>
  <c r="E191" i="15"/>
  <c r="E192" i="15"/>
  <c r="E193" i="15"/>
  <c r="E194" i="15"/>
  <c r="E195" i="15"/>
  <c r="E196" i="15"/>
  <c r="E197" i="15"/>
  <c r="E198" i="15"/>
  <c r="E199" i="15"/>
  <c r="E200" i="15"/>
  <c r="E201" i="15"/>
  <c r="E202" i="15"/>
  <c r="E203" i="15"/>
  <c r="E204" i="15"/>
  <c r="E205" i="15"/>
  <c r="E206" i="15"/>
  <c r="E207" i="15"/>
  <c r="E208" i="15"/>
  <c r="E209" i="15"/>
  <c r="E210" i="15"/>
  <c r="E211" i="15"/>
  <c r="E212" i="15"/>
  <c r="E213" i="15"/>
  <c r="E214" i="15"/>
  <c r="E215" i="15"/>
  <c r="E216" i="15"/>
  <c r="E217" i="15"/>
  <c r="E218" i="15"/>
  <c r="E219" i="15"/>
  <c r="E220" i="15"/>
  <c r="E221" i="15"/>
  <c r="E222" i="15"/>
  <c r="E223" i="15"/>
  <c r="E224" i="15"/>
  <c r="E225" i="15"/>
  <c r="E226" i="15"/>
  <c r="E227" i="15"/>
  <c r="E228" i="15"/>
  <c r="E229" i="15"/>
  <c r="E230" i="15"/>
  <c r="E231" i="15"/>
  <c r="E232" i="15"/>
  <c r="E233" i="15"/>
  <c r="E234" i="15"/>
  <c r="E235" i="15"/>
  <c r="E236" i="15"/>
  <c r="E237" i="15"/>
  <c r="E238" i="15"/>
  <c r="E239" i="15"/>
  <c r="E240" i="15"/>
  <c r="E241" i="15"/>
  <c r="E242" i="15"/>
  <c r="E243" i="15"/>
  <c r="E244" i="15"/>
  <c r="E245" i="15"/>
  <c r="E246" i="15"/>
  <c r="E247" i="15"/>
  <c r="E248" i="15"/>
  <c r="E249" i="15"/>
  <c r="E250" i="15"/>
  <c r="E251" i="15"/>
  <c r="E252" i="15"/>
  <c r="E253" i="15"/>
  <c r="E254" i="15"/>
  <c r="E255" i="15"/>
  <c r="E256" i="15"/>
  <c r="E257" i="15"/>
  <c r="E258" i="15"/>
  <c r="E259" i="15"/>
  <c r="E260" i="15"/>
  <c r="E261" i="15"/>
  <c r="E262" i="15"/>
  <c r="E263" i="15"/>
  <c r="E264" i="15"/>
  <c r="E265" i="15"/>
  <c r="E266" i="15"/>
  <c r="E267" i="15"/>
  <c r="E2" i="15"/>
  <c r="D3" i="15"/>
  <c r="D4" i="15" s="1"/>
  <c r="D5" i="15" s="1"/>
  <c r="D6" i="15" s="1"/>
  <c r="D7" i="15" s="1"/>
  <c r="D8" i="15" s="1"/>
  <c r="D9" i="15" s="1"/>
  <c r="D10" i="15" s="1"/>
  <c r="D11" i="15" s="1"/>
  <c r="D12" i="15" s="1"/>
  <c r="D13" i="15" s="1"/>
  <c r="D14" i="15"/>
  <c r="D15" i="15"/>
  <c r="D16" i="15" s="1"/>
  <c r="D17" i="15" s="1"/>
  <c r="D18" i="15" s="1"/>
  <c r="D19" i="15" s="1"/>
  <c r="D20" i="15" s="1"/>
  <c r="D21" i="15" s="1"/>
  <c r="D22" i="15" s="1"/>
  <c r="D23" i="15" s="1"/>
  <c r="D24" i="15" s="1"/>
  <c r="D25" i="15" s="1"/>
  <c r="D26" i="15"/>
  <c r="D27" i="15" s="1"/>
  <c r="D28" i="15" s="1"/>
  <c r="D29" i="15" s="1"/>
  <c r="D30" i="15" s="1"/>
  <c r="D31" i="15" s="1"/>
  <c r="D32" i="15" s="1"/>
  <c r="D33" i="15" s="1"/>
  <c r="D34" i="15" s="1"/>
  <c r="D35" i="15" s="1"/>
  <c r="D36" i="15" s="1"/>
  <c r="D37" i="15" s="1"/>
  <c r="D38" i="15"/>
  <c r="D39" i="15"/>
  <c r="D40" i="15" s="1"/>
  <c r="D41" i="15" s="1"/>
  <c r="D42" i="15" s="1"/>
  <c r="D43" i="15" s="1"/>
  <c r="D44" i="15" s="1"/>
  <c r="D45" i="15" s="1"/>
  <c r="D46" i="15" s="1"/>
  <c r="D47" i="15" s="1"/>
  <c r="D48" i="15" s="1"/>
  <c r="D49" i="15" s="1"/>
  <c r="D50" i="15"/>
  <c r="D51" i="15" s="1"/>
  <c r="D52" i="15" s="1"/>
  <c r="D53" i="15" s="1"/>
  <c r="D54" i="15" s="1"/>
  <c r="D55" i="15" s="1"/>
  <c r="D56" i="15" s="1"/>
  <c r="D57" i="15" s="1"/>
  <c r="D58" i="15" s="1"/>
  <c r="D59" i="15" s="1"/>
  <c r="D60" i="15" s="1"/>
  <c r="D61" i="15" s="1"/>
  <c r="D62" i="15"/>
  <c r="D63" i="15"/>
  <c r="D64" i="15" s="1"/>
  <c r="D65" i="15" s="1"/>
  <c r="D66" i="15" s="1"/>
  <c r="D67" i="15" s="1"/>
  <c r="D68" i="15" s="1"/>
  <c r="D69" i="15" s="1"/>
  <c r="D70" i="15" s="1"/>
  <c r="D71" i="15" s="1"/>
  <c r="D72" i="15" s="1"/>
  <c r="D73" i="15" s="1"/>
  <c r="D74" i="15"/>
  <c r="D75" i="15" s="1"/>
  <c r="D76" i="15" s="1"/>
  <c r="D77" i="15" s="1"/>
  <c r="D78" i="15" s="1"/>
  <c r="D79" i="15" s="1"/>
  <c r="D80" i="15" s="1"/>
  <c r="D81" i="15" s="1"/>
  <c r="D82" i="15" s="1"/>
  <c r="D83" i="15" s="1"/>
  <c r="D84" i="15" s="1"/>
  <c r="D85" i="15" s="1"/>
  <c r="D86" i="15"/>
  <c r="D87" i="15"/>
  <c r="D88" i="15" s="1"/>
  <c r="D89" i="15" s="1"/>
  <c r="D90" i="15" s="1"/>
  <c r="D91" i="15" s="1"/>
  <c r="D92" i="15" s="1"/>
  <c r="D93" i="15" s="1"/>
  <c r="D94" i="15" s="1"/>
  <c r="D95" i="15" s="1"/>
  <c r="D96" i="15" s="1"/>
  <c r="D97" i="15" s="1"/>
  <c r="D98" i="15"/>
  <c r="D99" i="15" s="1"/>
  <c r="D100" i="15" s="1"/>
  <c r="D101" i="15" s="1"/>
  <c r="D102" i="15" s="1"/>
  <c r="D103" i="15" s="1"/>
  <c r="D104" i="15" s="1"/>
  <c r="D105" i="15" s="1"/>
  <c r="D106" i="15" s="1"/>
  <c r="D107" i="15" s="1"/>
  <c r="D108" i="15" s="1"/>
  <c r="D109" i="15" s="1"/>
  <c r="D110" i="15"/>
  <c r="D111" i="15"/>
  <c r="D112" i="15" s="1"/>
  <c r="D113" i="15" s="1"/>
  <c r="D114" i="15" s="1"/>
  <c r="D115" i="15" s="1"/>
  <c r="D116" i="15" s="1"/>
  <c r="D117" i="15" s="1"/>
  <c r="D118" i="15" s="1"/>
  <c r="D119" i="15" s="1"/>
  <c r="D120" i="15" s="1"/>
  <c r="D121" i="15" s="1"/>
  <c r="D122" i="15"/>
  <c r="D123" i="15" s="1"/>
  <c r="D124" i="15" s="1"/>
  <c r="D125" i="15" s="1"/>
  <c r="D126" i="15" s="1"/>
  <c r="D127" i="15" s="1"/>
  <c r="D128" i="15" s="1"/>
  <c r="D129" i="15" s="1"/>
  <c r="D130" i="15" s="1"/>
  <c r="D131" i="15" s="1"/>
  <c r="D132" i="15" s="1"/>
  <c r="D133" i="15" s="1"/>
  <c r="D134" i="15"/>
  <c r="D135" i="15"/>
  <c r="D136" i="15" s="1"/>
  <c r="D137" i="15" s="1"/>
  <c r="D138" i="15" s="1"/>
  <c r="D139" i="15" s="1"/>
  <c r="D140" i="15" s="1"/>
  <c r="D141" i="15" s="1"/>
  <c r="D142" i="15" s="1"/>
  <c r="D143" i="15" s="1"/>
  <c r="D144" i="15" s="1"/>
  <c r="D145" i="15" s="1"/>
  <c r="D146" i="15"/>
  <c r="D147" i="15" s="1"/>
  <c r="D148" i="15" s="1"/>
  <c r="D149" i="15" s="1"/>
  <c r="D150" i="15" s="1"/>
  <c r="D151" i="15" s="1"/>
  <c r="D152" i="15" s="1"/>
  <c r="D153" i="15" s="1"/>
  <c r="D154" i="15" s="1"/>
  <c r="D155" i="15" s="1"/>
  <c r="D156" i="15" s="1"/>
  <c r="D157" i="15" s="1"/>
  <c r="D158" i="15"/>
  <c r="D159" i="15"/>
  <c r="D160" i="15" s="1"/>
  <c r="D161" i="15" s="1"/>
  <c r="D162" i="15" s="1"/>
  <c r="D163" i="15" s="1"/>
  <c r="D164" i="15" s="1"/>
  <c r="D165" i="15" s="1"/>
  <c r="D166" i="15" s="1"/>
  <c r="D167" i="15" s="1"/>
  <c r="D168" i="15" s="1"/>
  <c r="D169" i="15" s="1"/>
  <c r="D170" i="15"/>
  <c r="D171" i="15" s="1"/>
  <c r="D172" i="15" s="1"/>
  <c r="D173" i="15" s="1"/>
  <c r="D174" i="15" s="1"/>
  <c r="D175" i="15" s="1"/>
  <c r="D176" i="15" s="1"/>
  <c r="D177" i="15" s="1"/>
  <c r="D178" i="15" s="1"/>
  <c r="D179" i="15" s="1"/>
  <c r="D180" i="15" s="1"/>
  <c r="D181" i="15" s="1"/>
  <c r="D182" i="15"/>
  <c r="D183" i="15"/>
  <c r="D184" i="15" s="1"/>
  <c r="D185" i="15" s="1"/>
  <c r="D186" i="15" s="1"/>
  <c r="D187" i="15" s="1"/>
  <c r="D188" i="15" s="1"/>
  <c r="D189" i="15" s="1"/>
  <c r="D190" i="15" s="1"/>
  <c r="D191" i="15" s="1"/>
  <c r="D192" i="15" s="1"/>
  <c r="D193" i="15" s="1"/>
  <c r="D194" i="15"/>
  <c r="D195" i="15" s="1"/>
  <c r="D196" i="15" s="1"/>
  <c r="D197" i="15" s="1"/>
  <c r="D198" i="15" s="1"/>
  <c r="D199" i="15" s="1"/>
  <c r="D200" i="15" s="1"/>
  <c r="D201" i="15" s="1"/>
  <c r="D202" i="15" s="1"/>
  <c r="D203" i="15" s="1"/>
  <c r="D204" i="15" s="1"/>
  <c r="D205" i="15" s="1"/>
  <c r="D206" i="15"/>
  <c r="D207" i="15"/>
  <c r="D208" i="15" s="1"/>
  <c r="D209" i="15" s="1"/>
  <c r="D210" i="15" s="1"/>
  <c r="D211" i="15" s="1"/>
  <c r="D212" i="15" s="1"/>
  <c r="D213" i="15" s="1"/>
  <c r="D214" i="15" s="1"/>
  <c r="D215" i="15" s="1"/>
  <c r="D216" i="15" s="1"/>
  <c r="D217" i="15" s="1"/>
  <c r="D218" i="15"/>
  <c r="D219" i="15" s="1"/>
  <c r="D220" i="15" s="1"/>
  <c r="D221" i="15" s="1"/>
  <c r="D222" i="15" s="1"/>
  <c r="D223" i="15" s="1"/>
  <c r="D224" i="15" s="1"/>
  <c r="D225" i="15" s="1"/>
  <c r="D226" i="15" s="1"/>
  <c r="D227" i="15" s="1"/>
  <c r="D228" i="15" s="1"/>
  <c r="D229" i="15" s="1"/>
  <c r="D230" i="15"/>
  <c r="D231" i="15"/>
  <c r="D232" i="15" s="1"/>
  <c r="D233" i="15" s="1"/>
  <c r="D234" i="15" s="1"/>
  <c r="D235" i="15" s="1"/>
  <c r="D236" i="15" s="1"/>
  <c r="D237" i="15" s="1"/>
  <c r="D238" i="15" s="1"/>
  <c r="D239" i="15" s="1"/>
  <c r="D240" i="15" s="1"/>
  <c r="D241" i="15" s="1"/>
  <c r="D242" i="15"/>
  <c r="D243" i="15" s="1"/>
  <c r="D244" i="15" s="1"/>
  <c r="D245" i="15" s="1"/>
  <c r="D246" i="15" s="1"/>
  <c r="D247" i="15" s="1"/>
  <c r="D248" i="15" s="1"/>
  <c r="D249" i="15" s="1"/>
  <c r="D250" i="15" s="1"/>
  <c r="D251" i="15" s="1"/>
  <c r="D252" i="15" s="1"/>
  <c r="D253" i="15" s="1"/>
  <c r="D254" i="15"/>
  <c r="D255" i="15"/>
  <c r="D256" i="15" s="1"/>
  <c r="D257" i="15" s="1"/>
  <c r="D258" i="15" s="1"/>
  <c r="D259" i="15" s="1"/>
  <c r="D260" i="15" s="1"/>
  <c r="D261" i="15" s="1"/>
  <c r="D262" i="15" s="1"/>
  <c r="D263" i="15" s="1"/>
  <c r="D264" i="15" s="1"/>
  <c r="D265" i="15" s="1"/>
  <c r="D266" i="15"/>
  <c r="D267" i="15" s="1"/>
  <c r="D2" i="15"/>
  <c r="N4" i="14"/>
  <c r="N2" i="14"/>
  <c r="F13" i="12"/>
  <c r="J17" i="12"/>
  <c r="F6" i="12"/>
  <c r="B3" i="12"/>
  <c r="F8" i="12"/>
  <c r="F7" i="12"/>
  <c r="F4" i="12"/>
  <c r="F3" i="12"/>
  <c r="B24" i="12"/>
  <c r="B21" i="12"/>
  <c r="B9" i="12"/>
  <c r="B8" i="12"/>
  <c r="B7" i="12"/>
  <c r="B2" i="12"/>
  <c r="F21" i="12"/>
  <c r="F32" i="6" l="1"/>
  <c r="F33" i="6" s="1"/>
  <c r="F34" i="6" s="1"/>
  <c r="J12" i="6"/>
  <c r="B12" i="6"/>
  <c r="N6" i="6"/>
  <c r="N7" i="6" s="1"/>
  <c r="B7" i="11"/>
  <c r="B9" i="11" s="1"/>
  <c r="C24" i="10"/>
  <c r="C30" i="10"/>
  <c r="C31" i="10" s="1"/>
  <c r="C29" i="10"/>
  <c r="C23" i="10"/>
  <c r="L10" i="10"/>
  <c r="M10" i="10" s="1"/>
  <c r="L9" i="10"/>
  <c r="M9" i="10" s="1"/>
  <c r="L8" i="10"/>
  <c r="M8" i="10" s="1"/>
  <c r="L7" i="10"/>
  <c r="M7" i="10" s="1"/>
  <c r="L6" i="10"/>
  <c r="M6" i="10" s="1"/>
  <c r="H10" i="10"/>
  <c r="I10" i="10" s="1"/>
  <c r="H9" i="10"/>
  <c r="I9" i="10" s="1"/>
  <c r="H8" i="10"/>
  <c r="I8" i="10" s="1"/>
  <c r="H7" i="10"/>
  <c r="I7" i="10" s="1"/>
  <c r="H6" i="10"/>
  <c r="I6" i="10" s="1"/>
  <c r="C22" i="10"/>
  <c r="C21" i="10"/>
  <c r="C20" i="10"/>
  <c r="E10" i="10"/>
  <c r="E5" i="10"/>
  <c r="E13" i="10"/>
  <c r="E9" i="10"/>
  <c r="E6" i="10"/>
  <c r="E12" i="10"/>
  <c r="E7" i="10"/>
  <c r="E11" i="10"/>
  <c r="E2" i="10"/>
  <c r="E3" i="10"/>
  <c r="E8" i="10"/>
  <c r="E4" i="10"/>
  <c r="J13" i="6"/>
  <c r="J4" i="6"/>
  <c r="B19" i="8"/>
  <c r="B20" i="8"/>
  <c r="B21" i="8"/>
  <c r="B22" i="8"/>
  <c r="B23" i="8"/>
  <c r="B24" i="8"/>
  <c r="B14" i="8"/>
  <c r="B15" i="8"/>
  <c r="B16" i="8"/>
  <c r="B17" i="8"/>
  <c r="B18" i="8"/>
  <c r="B13" i="8"/>
  <c r="B12" i="8"/>
  <c r="H11" i="8"/>
  <c r="H12" i="8"/>
  <c r="H13" i="8"/>
  <c r="H14" i="8"/>
  <c r="H15" i="8"/>
  <c r="B11" i="8"/>
  <c r="B10" i="8"/>
  <c r="B9" i="8"/>
  <c r="B8" i="8"/>
  <c r="B7" i="8"/>
  <c r="H6" i="8"/>
  <c r="B6" i="8"/>
  <c r="H3" i="8"/>
  <c r="H4" i="8"/>
  <c r="H5" i="8"/>
  <c r="H7" i="8"/>
  <c r="H8" i="8"/>
  <c r="H9" i="8"/>
  <c r="H10" i="8"/>
  <c r="H2" i="8"/>
  <c r="B5" i="8"/>
  <c r="B4" i="8"/>
  <c r="B3" i="8"/>
  <c r="B2" i="8"/>
  <c r="B13" i="6"/>
  <c r="F6" i="6"/>
  <c r="B23" i="12" l="1"/>
  <c r="F20" i="12" s="1"/>
  <c r="B22" i="12"/>
  <c r="F19" i="12" s="1"/>
  <c r="F8" i="6"/>
  <c r="F10" i="6" s="1"/>
  <c r="F11" i="6" s="1"/>
  <c r="F12" i="6" s="1"/>
  <c r="N8" i="6"/>
  <c r="N9" i="6" s="1"/>
  <c r="J8" i="6"/>
  <c r="J18" i="6"/>
  <c r="B4" i="6"/>
  <c r="F5" i="12" s="1"/>
  <c r="J18" i="12" s="1"/>
  <c r="F11" i="12" s="1"/>
  <c r="B4" i="12" s="1"/>
  <c r="B6" i="12" s="1"/>
  <c r="B28" i="12" l="1"/>
  <c r="B18" i="12"/>
  <c r="B19" i="12" s="1"/>
  <c r="B20" i="12" s="1"/>
  <c r="F25" i="12"/>
  <c r="F12" i="12"/>
  <c r="F15" i="12" s="1"/>
  <c r="J16" i="6"/>
  <c r="J9" i="6"/>
  <c r="J10" i="6" s="1"/>
  <c r="B18" i="6"/>
  <c r="B8" i="6"/>
  <c r="B26" i="12" l="1"/>
  <c r="J7" i="12"/>
  <c r="J8" i="12"/>
  <c r="F16" i="12"/>
  <c r="F17" i="12" s="1"/>
  <c r="F23" i="12"/>
  <c r="N12" i="6"/>
  <c r="N13" i="6"/>
  <c r="N19" i="6"/>
  <c r="N21" i="6" s="1"/>
  <c r="N16" i="6"/>
  <c r="N17" i="6"/>
  <c r="B9" i="6"/>
  <c r="B10" i="6" s="1"/>
  <c r="B16" i="6"/>
  <c r="F16" i="6" l="1"/>
  <c r="F20" i="6"/>
  <c r="F15" i="6"/>
  <c r="F19" i="6"/>
  <c r="F22" i="6"/>
  <c r="F24" i="6" s="1"/>
  <c r="F4" i="2" l="1"/>
  <c r="G8" i="2" s="1"/>
  <c r="G7" i="2" l="1"/>
  <c r="F7" i="2"/>
  <c r="F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Sivacharan Chandrasekar</author>
  </authors>
  <commentList>
    <comment ref="A1" authorId="0" shapeId="0" xr:uid="{C6FDA7B1-0739-4CFC-AD0C-0CBAB85A6EB4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View a property using the address and from that page, you can see comparative houses and sales nearby that house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Sivacharan Chandrasekar</author>
  </authors>
  <commentList>
    <comment ref="L1" authorId="0" shapeId="0" xr:uid="{B3E78E2D-92C8-4D28-96DF-CE75432D9F82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Should save atleast this amt per month</t>
        </r>
      </text>
    </comment>
    <comment ref="E7" authorId="0" shapeId="0" xr:uid="{F54A9DE0-28C9-407B-A1B9-C5864CB5B34E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Health Insurane + Dental + Life Insurance + misc</t>
        </r>
      </text>
    </comment>
    <comment ref="B12" authorId="0" shapeId="0" xr:uid="{CCB3A583-27BB-494B-AD55-B18C0BE4B7C4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0.001 factor determined using the value available in Redfin estimated property tax avg. Usually property tax = 7% * 19% of Market Value. The 0.001 factor can vary $500 on either side</t>
        </r>
      </text>
    </comment>
    <comment ref="J12" authorId="0" shapeId="0" xr:uid="{76327D0D-D0C8-4BC6-9EE4-4D9F07F1159D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0.001 factor determined using the value available in Redfin estimated property tax avg. Usually property tax = 7% * 19% of Market Value. The 0.001 factor can vary $500 on either side</t>
        </r>
      </text>
    </comment>
    <comment ref="N12" authorId="0" shapeId="0" xr:uid="{65F12353-691C-42A8-B637-3DDA16EF7C4D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 Housing Expense per month should be around 28% of Gross Income</t>
        </r>
      </text>
    </comment>
    <comment ref="N13" authorId="0" shapeId="0" xr:uid="{49B5D443-FAD9-40E5-A03C-353D30D44ABD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 Housing Expense per month should be around 36% of Net Income</t>
        </r>
      </text>
    </comment>
    <comment ref="F15" authorId="0" shapeId="0" xr:uid="{30E7060E-37BA-4747-A334-C41D99EAC6A2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 Housing Expense per month should be around 28% of Gross Income</t>
        </r>
      </text>
    </comment>
    <comment ref="F16" authorId="0" shapeId="0" xr:uid="{C4023EAA-29B2-49E6-870A-86DB97CE54D1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 Housing Expense per month should be around 36% of Net Income</t>
        </r>
      </text>
    </comment>
    <comment ref="B18" authorId="0" shapeId="0" xr:uid="{0F61167C-8798-4B75-9BD6-CFEBBCF10ABD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Closing cost is estimated to be 3%-6% of the loan amount. For calculation, it is assumed to be 4.5%</t>
        </r>
      </text>
    </comment>
    <comment ref="J18" authorId="0" shapeId="0" xr:uid="{D9E82215-F9DB-41DF-9D1F-71084FBD6D96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Closing cost is estimated to be 3%-6% of the loan amount. For calculation, it is assumed to be 4.5%</t>
        </r>
      </text>
    </comment>
    <comment ref="M20" authorId="0" shapeId="0" xr:uid="{823134D3-8F1B-413D-8C06-58B997B828B9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Monthly expense + Credit Cards + Car Loan</t>
        </r>
      </text>
    </comment>
    <comment ref="N20" authorId="0" shapeId="0" xr:uid="{6246042C-727E-4C64-AB83-184E18D312F4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Current Expense ($1475) and Additional baby expense</t>
        </r>
      </text>
    </comment>
    <comment ref="E23" authorId="0" shapeId="0" xr:uid="{AD798CA6-42C2-4466-B6AA-45250BA6436B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Monthly expense + Credit Cards + Car Loan</t>
        </r>
      </text>
    </comment>
    <comment ref="F23" authorId="0" shapeId="0" xr:uid="{B97DB14F-A3F5-4677-A8DC-00E64A0230F9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Current Expense ($1475) and Additional baby expense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Sivacharan Chandrasekar</author>
    <author>tc={37A28D76-DFE4-4C0F-9EF0-69A2880DD416}</author>
    <author>tc={6F39DF09-45E6-4BB6-B32E-9D7803DE9536}</author>
    <author>tc={5A2D813E-D512-4EEB-BD8C-86A2BED432B7}</author>
  </authors>
  <commentList>
    <comment ref="E1" authorId="0" shapeId="0" xr:uid="{82FB3D4C-AACF-49B5-8728-E34BE6685900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20 Yr not available. Rate is for 30 Yr Conventional</t>
        </r>
      </text>
    </comment>
    <comment ref="J1" authorId="0" shapeId="0" xr:uid="{44C8A1B1-DF0E-4171-9BD0-EF25E77FA1C4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20 Yr not available. Rate is for 30 Yrs</t>
        </r>
      </text>
    </comment>
    <comment ref="F2" authorId="0" shapeId="0" xr:uid="{000C4785-66D6-4C89-9DDD-D6AE5672A089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0.749 Points which equals 2471 USD</t>
        </r>
      </text>
    </comment>
    <comment ref="G2" authorId="0" shapeId="0" xr:uid="{AF2F9573-4D59-443E-971B-16DF3462EFC4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3.125% for 0.603 points ($2460)</t>
        </r>
      </text>
    </comment>
    <comment ref="H2" authorId="0" shapeId="0" xr:uid="{C89AD1E5-D3DB-4673-8360-C43824DC41ED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0.411 credits = 3.125%</t>
        </r>
      </text>
    </comment>
    <comment ref="D3" authorId="1" shapeId="0" xr:uid="{37A28D76-DFE4-4C0F-9EF0-69A2880DD416}">
      <text>
        <r>
          <rPr>
            <sz val="11"/>
            <color theme="1"/>
            <rFont val="Arial Nova"/>
            <family val="2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+6211 in points</t>
        </r>
      </text>
    </comment>
    <comment ref="F3" authorId="2" shapeId="0" xr:uid="{6F39DF09-45E6-4BB6-B32E-9D7803DE9536}">
      <text>
        <r>
          <rPr>
            <sz val="11"/>
            <color theme="1"/>
            <rFont val="Arial Nova"/>
            <family val="2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.699 points = 2307</t>
        </r>
      </text>
    </comment>
    <comment ref="G3" authorId="3" shapeId="0" xr:uid="{5A2D813E-D512-4EEB-BD8C-86A2BED432B7}">
      <text>
        <r>
          <rPr>
            <sz val="11"/>
            <color theme="1"/>
            <rFont val="Arial Nova"/>
            <family val="2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3.125% for 0.403 points (1330 USD)</t>
        </r>
      </text>
    </comment>
  </commentList>
</comments>
</file>

<file path=xl/sharedStrings.xml><?xml version="1.0" encoding="utf-8"?>
<sst xmlns="http://schemas.openxmlformats.org/spreadsheetml/2006/main" count="1409" uniqueCount="394">
  <si>
    <t>Address</t>
  </si>
  <si>
    <t>Sale Date</t>
  </si>
  <si>
    <t>St. Louis County</t>
  </si>
  <si>
    <t>https://revenue.stlouisco.com/IAS/</t>
  </si>
  <si>
    <t>https://lookups.sccmo.org/assessor</t>
  </si>
  <si>
    <t>St. Charles County</t>
  </si>
  <si>
    <t>St Charles Market Value Calculator</t>
  </si>
  <si>
    <t>Tax Rate</t>
  </si>
  <si>
    <t>Estimated Market Value</t>
  </si>
  <si>
    <t>Property Tax (7% * 19% M.Value)</t>
  </si>
  <si>
    <t>St. Charles County Prop. Tax</t>
  </si>
  <si>
    <t>Min</t>
  </si>
  <si>
    <t>Max</t>
  </si>
  <si>
    <t>St. Charles</t>
  </si>
  <si>
    <t>Creve Coeur (63146)</t>
  </si>
  <si>
    <t>St. Charles County Interactive Map</t>
  </si>
  <si>
    <t>https://maps.sccmo.org/public_web_map/</t>
  </si>
  <si>
    <t>https://www.stcharlesmocollector.com/</t>
  </si>
  <si>
    <t>Link</t>
  </si>
  <si>
    <t>Closing Cost Info</t>
  </si>
  <si>
    <t>Closing Costs: What Are They And How Much? | Rocket Mortgage</t>
  </si>
  <si>
    <t>St. Louis County Maps</t>
  </si>
  <si>
    <t>https://stlcogis.maps.arcgis.com/apps/webappviewer/index.html?id=e70f8f1814a34cd7bf8f6766bd950c68&amp;query=Parcels,Locator,23V211493</t>
  </si>
  <si>
    <t>Mortgage Calculator</t>
  </si>
  <si>
    <t>House Price</t>
  </si>
  <si>
    <t>Down Payment (atleast 20%)</t>
  </si>
  <si>
    <t>Person 1</t>
  </si>
  <si>
    <t>Loan Amount</t>
  </si>
  <si>
    <t>Person 2</t>
  </si>
  <si>
    <t>Annual Interest Rate</t>
  </si>
  <si>
    <t>Extra Income</t>
  </si>
  <si>
    <t>Life of Loan (Yrs)</t>
  </si>
  <si>
    <t>Total Gross</t>
  </si>
  <si>
    <t>Number of payments per year</t>
  </si>
  <si>
    <t>Total Net</t>
  </si>
  <si>
    <t>Payment per period</t>
  </si>
  <si>
    <t>Monthly Net</t>
  </si>
  <si>
    <t>Sum of Payments</t>
  </si>
  <si>
    <t>Interest Cost</t>
  </si>
  <si>
    <t xml:space="preserve"> </t>
  </si>
  <si>
    <t>Mortgage : Income</t>
  </si>
  <si>
    <t>Property Taxes (annual)</t>
  </si>
  <si>
    <t>Insurance (annual)</t>
  </si>
  <si>
    <t>Inc. after mortgage</t>
  </si>
  <si>
    <t>HOA (per month)</t>
  </si>
  <si>
    <t>Other monthly expense</t>
  </si>
  <si>
    <t>Savings</t>
  </si>
  <si>
    <t>mtg + tax + ins + hoa</t>
  </si>
  <si>
    <t>Estimated Closing Cost</t>
  </si>
  <si>
    <t>Zipcode</t>
  </si>
  <si>
    <t>Listed Price</t>
  </si>
  <si>
    <t>Sold Price</t>
  </si>
  <si>
    <t>1 Swift Creek Ct, St Peters, MO 63376</t>
  </si>
  <si>
    <t>1254 Harmony Lake Dr, St Peters, MO 63376</t>
  </si>
  <si>
    <t>Property City</t>
  </si>
  <si>
    <t>Cottleville</t>
  </si>
  <si>
    <t>St. Peters</t>
  </si>
  <si>
    <t>% Diff</t>
  </si>
  <si>
    <t>1343 Shorewinds Trl, St Charles, MO 63303</t>
  </si>
  <si>
    <t>3112 Bentwater Pl, St Charles, MO 63301</t>
  </si>
  <si>
    <t>3125 Bentwater Pl, St Charles, MO 63301</t>
  </si>
  <si>
    <t>4137 Shepherds Hill Cir, St Charles, MO 63304</t>
  </si>
  <si>
    <t>501 Sgt. Pepper Dr, St Peter, MO 63376</t>
  </si>
  <si>
    <t>328 Jessie Marie Ln, St Peters, MO 63376</t>
  </si>
  <si>
    <t>1030 Reddington Oaks Dr, St Charles, MO 63304</t>
  </si>
  <si>
    <t>1695 Belleau Wood, St Peters, MO 63376</t>
  </si>
  <si>
    <t>1049 Pierpoint Ln, Saint Charles, MO 63303</t>
  </si>
  <si>
    <t>Market Value</t>
  </si>
  <si>
    <t>3464 Charlestowne Crossing Dr, Saint Charles, MO 63301</t>
  </si>
  <si>
    <t>325 Charlestowne Place Dr, Saint Charles, MO 63301</t>
  </si>
  <si>
    <t>24V521397</t>
  </si>
  <si>
    <t>X</t>
  </si>
  <si>
    <t>Frame</t>
  </si>
  <si>
    <t>Plan Urban Development</t>
  </si>
  <si>
    <t>Full</t>
  </si>
  <si>
    <t>24V521353</t>
  </si>
  <si>
    <t>24V521302</t>
  </si>
  <si>
    <t>24V521364</t>
  </si>
  <si>
    <t>24V521375</t>
  </si>
  <si>
    <t>24V521441</t>
  </si>
  <si>
    <t>24V521430</t>
  </si>
  <si>
    <t>24V521155</t>
  </si>
  <si>
    <t>24V521166</t>
  </si>
  <si>
    <t>24V521522</t>
  </si>
  <si>
    <t>24V521133</t>
  </si>
  <si>
    <t>24V520374</t>
  </si>
  <si>
    <t>Aluminum / Vinyl</t>
  </si>
  <si>
    <t>24V520781</t>
  </si>
  <si>
    <t>24V520808</t>
  </si>
  <si>
    <t>24V520404</t>
  </si>
  <si>
    <t>24V611036</t>
  </si>
  <si>
    <t>24V613247</t>
  </si>
  <si>
    <t>24V613258</t>
  </si>
  <si>
    <t>24V611025</t>
  </si>
  <si>
    <t>24V613313</t>
  </si>
  <si>
    <t>24V610970</t>
  </si>
  <si>
    <t>24V610354</t>
  </si>
  <si>
    <t>24V610981</t>
  </si>
  <si>
    <t>24V610794</t>
  </si>
  <si>
    <t>24V610815</t>
  </si>
  <si>
    <t>24V610824</t>
  </si>
  <si>
    <t>24V613775</t>
  </si>
  <si>
    <t>23V211424</t>
  </si>
  <si>
    <t>Masonry and Frame</t>
  </si>
  <si>
    <t>23V211442</t>
  </si>
  <si>
    <t>23V211460</t>
  </si>
  <si>
    <t>23V211471</t>
  </si>
  <si>
    <t>23V211507</t>
  </si>
  <si>
    <t>23V211406</t>
  </si>
  <si>
    <t>23V211394</t>
  </si>
  <si>
    <t>23V211361</t>
  </si>
  <si>
    <t>23V211196</t>
  </si>
  <si>
    <t>23V211240</t>
  </si>
  <si>
    <t>23V211350</t>
  </si>
  <si>
    <t>23V211341</t>
  </si>
  <si>
    <t>23V211332</t>
  </si>
  <si>
    <t>23V121062</t>
  </si>
  <si>
    <t>23V211323</t>
  </si>
  <si>
    <t>23V121408</t>
  </si>
  <si>
    <t>23V211251</t>
  </si>
  <si>
    <t>23V121392</t>
  </si>
  <si>
    <t>23V211295</t>
  </si>
  <si>
    <t>23V211262</t>
  </si>
  <si>
    <t>23V121316</t>
  </si>
  <si>
    <t>23V211592</t>
  </si>
  <si>
    <t>23V121381</t>
  </si>
  <si>
    <t>23V121370</t>
  </si>
  <si>
    <t>23V121260</t>
  </si>
  <si>
    <t>23V121224</t>
  </si>
  <si>
    <t>23V121206</t>
  </si>
  <si>
    <t>23V240529</t>
  </si>
  <si>
    <t>23V240538</t>
  </si>
  <si>
    <t>23V240419</t>
  </si>
  <si>
    <t>I</t>
  </si>
  <si>
    <t>23V240758</t>
  </si>
  <si>
    <t>23V520197</t>
  </si>
  <si>
    <t>23V240666</t>
  </si>
  <si>
    <t>23V240657</t>
  </si>
  <si>
    <t>23V520494</t>
  </si>
  <si>
    <t>23V520186</t>
  </si>
  <si>
    <t>23V520472</t>
  </si>
  <si>
    <t>24V130711</t>
  </si>
  <si>
    <t>23V520708</t>
  </si>
  <si>
    <t>24V130720</t>
  </si>
  <si>
    <t>23V520450</t>
  </si>
  <si>
    <t>23V520533</t>
  </si>
  <si>
    <t>23V520542</t>
  </si>
  <si>
    <t>23V520652</t>
  </si>
  <si>
    <t>23V520423</t>
  </si>
  <si>
    <t>23V520414</t>
  </si>
  <si>
    <t>24V131194</t>
  </si>
  <si>
    <t>24V131224</t>
  </si>
  <si>
    <t>23V520395</t>
  </si>
  <si>
    <t>23V520560</t>
  </si>
  <si>
    <t>24V131242</t>
  </si>
  <si>
    <t>23V520384</t>
  </si>
  <si>
    <t>24V130959</t>
  </si>
  <si>
    <t>24V130968</t>
  </si>
  <si>
    <t>23V520634</t>
  </si>
  <si>
    <t>23V520616</t>
  </si>
  <si>
    <t>24V110195</t>
  </si>
  <si>
    <t>24V131095</t>
  </si>
  <si>
    <t>23U131691</t>
  </si>
  <si>
    <t>LocatorNumber</t>
  </si>
  <si>
    <t>ZipCode</t>
  </si>
  <si>
    <t>Sale DateAsc 2</t>
  </si>
  <si>
    <t>SalePrice</t>
  </si>
  <si>
    <t>PricePerSq. Ft.</t>
  </si>
  <si>
    <t>SaleValidity</t>
  </si>
  <si>
    <t>TotalAcres</t>
  </si>
  <si>
    <t>ExteriorWall Type</t>
  </si>
  <si>
    <t>ArchitecturalStyle</t>
  </si>
  <si>
    <t>YearBuilt</t>
  </si>
  <si>
    <t>TotalLivingArea</t>
  </si>
  <si>
    <t>Base-ment</t>
  </si>
  <si>
    <t>2617 Grover Crossing Way.</t>
  </si>
  <si>
    <t>2640 Grover Crossing Way.</t>
  </si>
  <si>
    <t>2620 Grover Crossing Way.</t>
  </si>
  <si>
    <t>2605 Grover Crossing Way.</t>
  </si>
  <si>
    <t>2609 Grover Crossing Way.</t>
  </si>
  <si>
    <t>2637 Grover Crossing Way.</t>
  </si>
  <si>
    <t>2633 Grover Crossing Way.</t>
  </si>
  <si>
    <t>2612 Grover Crossing Way.</t>
  </si>
  <si>
    <t>2608 Grover Crossing Way.</t>
  </si>
  <si>
    <t>2700 Grover Crossing Dr.</t>
  </si>
  <si>
    <t>2733 Grover Crossing Dr.</t>
  </si>
  <si>
    <t>16569 Carriage View Ct.</t>
  </si>
  <si>
    <t>16568 Carriage View Ct.</t>
  </si>
  <si>
    <t>16564 Carriage View Ct.</t>
  </si>
  <si>
    <t>16575 Carriage View Ct.</t>
  </si>
  <si>
    <t>16531 Carriage View Ct.</t>
  </si>
  <si>
    <t>119 Carriage View Dr.</t>
  </si>
  <si>
    <t>121 Carriage View Dr.</t>
  </si>
  <si>
    <t>16529 Carriage View Ct.</t>
  </si>
  <si>
    <t>110 Carriage View Dr.</t>
  </si>
  <si>
    <t>16521 Carriage View Ct.</t>
  </si>
  <si>
    <t>114 Carriage View Dr.</t>
  </si>
  <si>
    <t>16523 Carriage View Ct.</t>
  </si>
  <si>
    <t>16512 Carriage View Ct.</t>
  </si>
  <si>
    <t>16506 Carriage View Ct.</t>
  </si>
  <si>
    <t>16504 Carriage View Ct.</t>
  </si>
  <si>
    <t>16500 Victoria Crossing Dr.</t>
  </si>
  <si>
    <t>17000 Cambury Ln. 17008 Cambury Ln.</t>
  </si>
  <si>
    <t>17008 Cambury Ln. 17016 Cambury Ln.</t>
  </si>
  <si>
    <t>17016 Cambury Ln. 17020 Cambury Ln.</t>
  </si>
  <si>
    <t>17020 Cambury Ln. 17016 Cambury Ln.</t>
  </si>
  <si>
    <t>17016 Cambury Ln. 2516 S. Kilare Ln.</t>
  </si>
  <si>
    <t>2516 S. Kilare Ln. 2417 Eatherton Rd.</t>
  </si>
  <si>
    <t>2417 Eatherton Rd. 2421 Eatherton Rd.</t>
  </si>
  <si>
    <t>2421 Eatherton Rd. 17009 Cambury Ln.</t>
  </si>
  <si>
    <t>17009 Cambury Ln. 17067 Cambury Ln.</t>
  </si>
  <si>
    <t>17067 Cambury Ln. 17047 Cambury Ln.</t>
  </si>
  <si>
    <t>17047 Cambury Ln. 17013 Cambury Ln.</t>
  </si>
  <si>
    <t>17013 Cambury Ln. 17017 Cambury Ln.</t>
  </si>
  <si>
    <t>17017 Cambury Ln. 17021 Cambury Ln.</t>
  </si>
  <si>
    <t>17021 Cambury Ln. 17021 Cambury Ln.</t>
  </si>
  <si>
    <t>17021 Cambury Ln. 2518 S. Larksong</t>
  </si>
  <si>
    <t>2518 S. Larksong Dr.</t>
  </si>
  <si>
    <t>17025 Cambury Ln. 2506 S. Larksong</t>
  </si>
  <si>
    <t>2506 S. Larksong Dr.</t>
  </si>
  <si>
    <t>17043 Cambury Ln. 2502 S. Larksong</t>
  </si>
  <si>
    <t>2502 S. Larksong Dr.</t>
  </si>
  <si>
    <t>2402 N. Kilare Ln. 2419 N. Kilare Ln.</t>
  </si>
  <si>
    <t>2419 N. Kilare Ln. 2515 S. Larksong</t>
  </si>
  <si>
    <t>2515 S. Larksong Dr.</t>
  </si>
  <si>
    <t>17062 Cambury Ln. 2420 N. Larksong</t>
  </si>
  <si>
    <t>2420 N. Larksong Dr.</t>
  </si>
  <si>
    <t>2416 N. Larksong Dr.</t>
  </si>
  <si>
    <t>2408 N. Larksong Dr.</t>
  </si>
  <si>
    <t>2417 N. Larksong Dr.</t>
  </si>
  <si>
    <t>17127 Cambury Ln. 16036 Sandalwood</t>
  </si>
  <si>
    <t>16036 Sandalwood Creek Dr.</t>
  </si>
  <si>
    <t>16032 Sandalwood Creek Dr.</t>
  </si>
  <si>
    <t>17014 Sandalwood Creek Dr.</t>
  </si>
  <si>
    <t>2344 Hunters Crest Dr.</t>
  </si>
  <si>
    <t>2325 Hunters Crest Dr.</t>
  </si>
  <si>
    <t>2317 Hunters Crest Dr.</t>
  </si>
  <si>
    <t>2345 Hunters Crest Dr.</t>
  </si>
  <si>
    <t>15975 Sandalwood Creek Dr.</t>
  </si>
  <si>
    <t>2329 Hunters Crest Dr.</t>
  </si>
  <si>
    <t>15972 Sandalwood Creek Dr.</t>
  </si>
  <si>
    <t>237 Meadows Of Wildwood Blvd.</t>
  </si>
  <si>
    <t>16761 Hickory Meadows Ct.</t>
  </si>
  <si>
    <t>233 Meadows Of Wildwood Blvd.</t>
  </si>
  <si>
    <t>15964 Sandalwood Creek Dr.</t>
  </si>
  <si>
    <t>15959 Sandalwood Creek Dr.</t>
  </si>
  <si>
    <t>15955 Sandalwood Creek Dr.</t>
  </si>
  <si>
    <t>16731 Hickory Meadows Ct.</t>
  </si>
  <si>
    <t>15952 Sandalwood Creek Dr.</t>
  </si>
  <si>
    <t>15948 Sandalwood Creek Dr.</t>
  </si>
  <si>
    <t>122 Meadows Of Wildwood Blvd.</t>
  </si>
  <si>
    <t>242 Meadows Of Wildwood Blvd.</t>
  </si>
  <si>
    <t>15940 Sandalwood Creek Dr.</t>
  </si>
  <si>
    <t>15935 Sandalwood Creek Dr.</t>
  </si>
  <si>
    <t>134 Meadows Of Wildwood Blvd.</t>
  </si>
  <si>
    <t>15936 Sandalwood Creek Dr.</t>
  </si>
  <si>
    <t>218 Meadows Of Wildwood Blvd.</t>
  </si>
  <si>
    <t>214 Meadows Of Wildwood Blvd.</t>
  </si>
  <si>
    <t>16719 Hickory Meadows Ct.</t>
  </si>
  <si>
    <t>Bedrooms</t>
  </si>
  <si>
    <t>Total Rooms</t>
  </si>
  <si>
    <t>Full Bath</t>
  </si>
  <si>
    <t>Half Bath</t>
  </si>
  <si>
    <t>17016 Cambury Ln. 17016 Cambury Ln.</t>
  </si>
  <si>
    <t>2516 S. Kilare Ln. 17020 Cambury Ln.</t>
  </si>
  <si>
    <t>17020 Cambury Ln. 17067 Cambury Ln.</t>
  </si>
  <si>
    <t>17047 Cambury Ln. 2417 Eatherton Rd.</t>
  </si>
  <si>
    <t>17009 Cambury Ln. 17013 Cambury Ln.</t>
  </si>
  <si>
    <t>17013 Cambury Ln. 2518 S. Larksong</t>
  </si>
  <si>
    <t>17021 Cambury Ln. 17025 Cambury Ln.</t>
  </si>
  <si>
    <t>17127 Cambury Ln. 237 Meadows Of Wildwood</t>
  </si>
  <si>
    <t>189 Meadows Of Wildwood Blvd.</t>
  </si>
  <si>
    <t>395 Meadows Of Wildwood Ct.</t>
  </si>
  <si>
    <t>Story Height</t>
  </si>
  <si>
    <t>Sq. Ft</t>
  </si>
  <si>
    <t>Price per sqft</t>
  </si>
  <si>
    <t>Cost</t>
  </si>
  <si>
    <t>Year Built</t>
  </si>
  <si>
    <t>Date Sold</t>
  </si>
  <si>
    <t>Price in Sold Date</t>
  </si>
  <si>
    <t>Current Price</t>
  </si>
  <si>
    <t>% Change</t>
  </si>
  <si>
    <t>Est. Price / Sqft</t>
  </si>
  <si>
    <t>Redfin Est</t>
  </si>
  <si>
    <t>Zillow Trend</t>
  </si>
  <si>
    <t>Zillow Trend Curr</t>
  </si>
  <si>
    <t>Zillow % Change</t>
  </si>
  <si>
    <t>Sq. ft</t>
  </si>
  <si>
    <t>Price</t>
  </si>
  <si>
    <t>Price / Sq. ft</t>
  </si>
  <si>
    <t>Price + 60K upgrades</t>
  </si>
  <si>
    <t>Price / Sq. ft (with upgr)</t>
  </si>
  <si>
    <t>Debt : Income</t>
  </si>
  <si>
    <t>Monthly Gross</t>
  </si>
  <si>
    <t>Net Ratio</t>
  </si>
  <si>
    <t>Gross Ratio</t>
  </si>
  <si>
    <t>Blinds</t>
  </si>
  <si>
    <t>Bath Tub ceiling (2 bath)</t>
  </si>
  <si>
    <t>Cabinets (Kitchen + bathrooms)</t>
  </si>
  <si>
    <t>Rectangular sing (1 no)</t>
  </si>
  <si>
    <t>Fan fixtures</t>
  </si>
  <si>
    <t>Garage Door Keypad and opener</t>
  </si>
  <si>
    <t>Total</t>
  </si>
  <si>
    <t>Flooring (Level 2 tile)</t>
  </si>
  <si>
    <t>Quartz Countertops (Kitchen + Bathroom) Lvl 3</t>
  </si>
  <si>
    <t>Mnthly. Ins Premium</t>
  </si>
  <si>
    <t>Mnthly. 401K</t>
  </si>
  <si>
    <t>Mnthly. Tax withholding</t>
  </si>
  <si>
    <t>AMEX</t>
  </si>
  <si>
    <t>529 (Child Education)</t>
  </si>
  <si>
    <t>Investment</t>
  </si>
  <si>
    <t>Savings / Mnth for Jan - Jun</t>
  </si>
  <si>
    <t>Total Savings</t>
  </si>
  <si>
    <t>Mortgage Calculator (Without Points)</t>
  </si>
  <si>
    <t>Mortgage Calculator (With Points)</t>
  </si>
  <si>
    <t>Points Calculation</t>
  </si>
  <si>
    <t>Origination Fees</t>
  </si>
  <si>
    <t>Points</t>
  </si>
  <si>
    <t>Effective Interest Rate</t>
  </si>
  <si>
    <t>Down Payment</t>
  </si>
  <si>
    <t>Down Payment (adding origination fees)</t>
  </si>
  <si>
    <t>1. 45 days shop window (unlimited credit query can happen within this window that will not affect the credit score)</t>
  </si>
  <si>
    <t>2. First show with local credit union to get a good understanding of how much is offered in the area</t>
  </si>
  <si>
    <t>3. Then shop with the mortgage brokers (Check credible or FindAMortgageBroker.com or Certified Mortgage Advisor)</t>
  </si>
  <si>
    <t>4. Finally shop with 2 or 3 big bank lenders like Churchill Mortgage, or Caliber Home Loans, or PNC Bank</t>
  </si>
  <si>
    <t>The credit unions, big banks, and brokers will operate differently and getting quote from all three will give an idea about the rates, and fees associated with each option</t>
  </si>
  <si>
    <t>5. Questions to check with lender</t>
  </si>
  <si>
    <t>a. What are your turn times? (typically 2 days to 2 weeks)</t>
  </si>
  <si>
    <t>b. What is their Section A Fees (Specific to the lender charges)? And an itemized fees</t>
  </si>
  <si>
    <t>c. Who will be my main contact during the entire process? Having a single consistent point of contact is always better</t>
  </si>
  <si>
    <t>d. do they have the heart of teacher? Are they patiently willing to explain the process??</t>
  </si>
  <si>
    <t>6. Warning signs of lenders</t>
  </si>
  <si>
    <t>a. Quoting just a rate with limited info</t>
  </si>
  <si>
    <t>b. Not giving a complete cost breakdown</t>
  </si>
  <si>
    <t>c. Taking longer than 24 hours to respond</t>
  </si>
  <si>
    <t>d. Uneasiness - trust your gut</t>
  </si>
  <si>
    <t>7. Prioritize service vs low rates as closing in time is really important</t>
  </si>
  <si>
    <t>8. Compare the Page 3 of Loan Estimate from all lenders. The In 5 years estimate gives a good idea on the effectiveness of the lenders</t>
  </si>
  <si>
    <t>Lender Options</t>
  </si>
  <si>
    <t>homefinity</t>
  </si>
  <si>
    <t>Consumer Direct</t>
  </si>
  <si>
    <t>Carlson Mortgage</t>
  </si>
  <si>
    <t>Delmar Mortgage</t>
  </si>
  <si>
    <t>Bank of America</t>
  </si>
  <si>
    <t>AmeriSave</t>
  </si>
  <si>
    <t>Better</t>
  </si>
  <si>
    <t>Any additional lender credits</t>
  </si>
  <si>
    <t>Breakeven (in years) for actual loan</t>
  </si>
  <si>
    <t>Breakeven (in years) for modified loan</t>
  </si>
  <si>
    <t>Victory Mortgage Points Calculation</t>
  </si>
  <si>
    <t>Margin</t>
  </si>
  <si>
    <t>Rate Chart</t>
  </si>
  <si>
    <t>Preferred Rate</t>
  </si>
  <si>
    <t>New Origination Fees</t>
  </si>
  <si>
    <t>Charles Hardy, Cassandra Husser</t>
  </si>
  <si>
    <t>Contacts</t>
  </si>
  <si>
    <t>Alex Gorodinsky, Gregory Shmulevich</t>
  </si>
  <si>
    <t>USA Mortgage</t>
  </si>
  <si>
    <t>Blake Thorson, Paige Hall Ringkamp</t>
  </si>
  <si>
    <t>ELENDING GROUP LLC</t>
  </si>
  <si>
    <t>Rick Kumar</t>
  </si>
  <si>
    <t>Michael Edward Anderson, Robert Alan Heideman, Christopher Adrian Luebbers, , Ryan M Luechtefeld, Angela K Chappell</t>
  </si>
  <si>
    <t>Items to check with Lenders</t>
  </si>
  <si>
    <t>1. New Purchase - what is the process</t>
  </si>
  <si>
    <t>2. How does rate lock works?</t>
  </si>
  <si>
    <t>3. Lender credits?</t>
  </si>
  <si>
    <t>4. Get Loan Estimate</t>
  </si>
  <si>
    <t>5. Get Points rate chart</t>
  </si>
  <si>
    <t>Rate floating down available?</t>
  </si>
  <si>
    <t>What is the premium margin for rate locks?</t>
  </si>
  <si>
    <t>How early can they rate lock for a new purchase?</t>
  </si>
  <si>
    <t>What is the period for rate lock</t>
  </si>
  <si>
    <t>Any fees associated with rate lock?</t>
  </si>
  <si>
    <t>6. Will there be any maintenance fee for ESCROW?</t>
  </si>
  <si>
    <t>7. Do I need to mandatorily include the property tax and HOA in ESCROW</t>
  </si>
  <si>
    <t>Date</t>
  </si>
  <si>
    <t>Victory Mortgage</t>
  </si>
  <si>
    <t>Better.com</t>
  </si>
  <si>
    <t>BOA Mortgage</t>
  </si>
  <si>
    <t>HomeFinity</t>
  </si>
  <si>
    <t>ConsumerDirect</t>
  </si>
  <si>
    <t>ElendingGroup</t>
  </si>
  <si>
    <t>nbkc</t>
  </si>
  <si>
    <t>Points Cost</t>
  </si>
  <si>
    <t>Better.com does not lock rate now but only 75 days</t>
  </si>
  <si>
    <t>Year</t>
  </si>
  <si>
    <t>Month</t>
  </si>
  <si>
    <t>30 Yr Rates</t>
  </si>
  <si>
    <t>Jan Rates</t>
  </si>
  <si>
    <t>Deviation from Jan</t>
  </si>
  <si>
    <t>Row Labels</t>
  </si>
  <si>
    <t>Grand Total</t>
  </si>
  <si>
    <t>Sum of 30 Yr Rates</t>
  </si>
  <si>
    <t>Sum of Deviation from Jan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</si>
</sst>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&quot;$&quot;* #,##0_);_(&quot;$&quot;* \(#,##0\);_(&quot;$&quot;* &quot;-&quot;???_);_(@_)"/>
    <numFmt numFmtId="166" formatCode="_(* #,##0_);_(* \(#,##0\);_(* &quot;-&quot;??_);_(@_)"/>
    <numFmt numFmtId="167" formatCode="_(&quot;$&quot;* #,##0.000_);_(&quot;$&quot;* \(#,##0.000\);_(&quot;$&quot;* &quot;-&quot;???_);_(@_)"/>
    <numFmt numFmtId="168" formatCode="0.000"/>
    <numFmt numFmtId="169" formatCode="_(* #,##0.000_);_(* \(#,##0.000\);_(* &quot;-&quot;??_);_(@_)"/>
    <numFmt numFmtId="170" formatCode="0.000%"/>
  </numFmts>
  <fonts count="6" x14ac:knownFonts="1">
    <font>
      <sz val="11"/>
      <color theme="1"/>
      <name val="Arial Nova"/>
      <family val="2"/>
    </font>
    <font>
      <sz val="11"/>
      <color theme="1"/>
      <name val="Arial Nova"/>
      <family val="2"/>
    </font>
    <font>
      <b/>
      <sz val="11"/>
      <color theme="1"/>
      <name val="Arial Nova"/>
      <family val="2"/>
    </font>
    <font>
      <u/>
      <sz val="11"/>
      <color theme="10"/>
      <name val="Arial Nov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77">
    <xf numFmtId="0" fontId="0" fillId="0" borderId="0" xfId="0"/>
    <xf numFmtId="14" fontId="0" fillId="0" borderId="0" xfId="0" applyNumberFormat="1"/>
    <xf numFmtId="44" fontId="0" fillId="0" borderId="0" xfId="1" applyFont="1"/>
    <xf numFmtId="9" fontId="0" fillId="0" borderId="0" xfId="2" applyFont="1"/>
    <xf numFmtId="44" fontId="0" fillId="0" borderId="0" xfId="0" applyNumberFormat="1"/>
    <xf numFmtId="0" fontId="0" fillId="2" borderId="1" xfId="0" applyFill="1" applyBorder="1"/>
    <xf numFmtId="9" fontId="0" fillId="2" borderId="1" xfId="2" applyFont="1" applyFill="1" applyBorder="1"/>
    <xf numFmtId="44" fontId="0" fillId="2" borderId="1" xfId="1" applyFont="1" applyFill="1" applyBorder="1"/>
    <xf numFmtId="44" fontId="0" fillId="2" borderId="1" xfId="0" applyNumberFormat="1" applyFill="1" applyBorder="1"/>
    <xf numFmtId="0" fontId="0" fillId="2" borderId="0" xfId="0" applyFill="1" applyBorder="1"/>
    <xf numFmtId="6" fontId="0" fillId="0" borderId="0" xfId="0" applyNumberFormat="1"/>
    <xf numFmtId="8" fontId="0" fillId="0" borderId="0" xfId="0" applyNumberFormat="1"/>
    <xf numFmtId="16" fontId="0" fillId="0" borderId="0" xfId="0" applyNumberFormat="1"/>
    <xf numFmtId="3" fontId="0" fillId="0" borderId="0" xfId="0" applyNumberFormat="1"/>
    <xf numFmtId="17" fontId="0" fillId="0" borderId="0" xfId="0" applyNumberFormat="1"/>
    <xf numFmtId="164" fontId="0" fillId="0" borderId="0" xfId="0" applyNumberFormat="1"/>
    <xf numFmtId="0" fontId="0" fillId="0" borderId="0" xfId="0" applyAlignment="1">
      <alignment wrapText="1"/>
    </xf>
    <xf numFmtId="0" fontId="3" fillId="0" borderId="0" xfId="3" applyAlignment="1">
      <alignment wrapText="1"/>
    </xf>
    <xf numFmtId="0" fontId="2" fillId="3" borderId="0" xfId="0" applyFont="1" applyFill="1" applyAlignment="1">
      <alignment horizontal="center" vertical="center" wrapText="1"/>
    </xf>
    <xf numFmtId="0" fontId="2" fillId="0" borderId="0" xfId="0" applyFont="1"/>
    <xf numFmtId="164" fontId="0" fillId="3" borderId="0" xfId="1" applyNumberFormat="1" applyFont="1" applyFill="1"/>
    <xf numFmtId="0" fontId="0" fillId="0" borderId="1" xfId="0" applyBorder="1"/>
    <xf numFmtId="164" fontId="0" fillId="3" borderId="1" xfId="1" applyNumberFormat="1" applyFont="1" applyFill="1" applyBorder="1"/>
    <xf numFmtId="17" fontId="0" fillId="0" borderId="1" xfId="0" applyNumberFormat="1" applyBorder="1"/>
    <xf numFmtId="10" fontId="0" fillId="3" borderId="0" xfId="2" applyNumberFormat="1" applyFont="1" applyFill="1"/>
    <xf numFmtId="0" fontId="0" fillId="3" borderId="0" xfId="0" applyFill="1"/>
    <xf numFmtId="164" fontId="0" fillId="0" borderId="1" xfId="1" applyNumberFormat="1" applyFont="1" applyBorder="1"/>
    <xf numFmtId="17" fontId="2" fillId="0" borderId="1" xfId="0" applyNumberFormat="1" applyFont="1" applyBorder="1"/>
    <xf numFmtId="9" fontId="2" fillId="0" borderId="1" xfId="2" applyFont="1" applyBorder="1"/>
    <xf numFmtId="164" fontId="0" fillId="3" borderId="0" xfId="0" applyNumberFormat="1" applyFill="1"/>
    <xf numFmtId="0" fontId="0" fillId="0" borderId="1" xfId="0" applyBorder="1" applyAlignment="1">
      <alignment wrapText="1"/>
    </xf>
    <xf numFmtId="164" fontId="0" fillId="0" borderId="1" xfId="0" applyNumberFormat="1" applyBorder="1"/>
    <xf numFmtId="0" fontId="2" fillId="4" borderId="0" xfId="0" applyFont="1" applyFill="1"/>
    <xf numFmtId="165" fontId="2" fillId="4" borderId="0" xfId="0" applyNumberFormat="1" applyFont="1" applyFill="1"/>
    <xf numFmtId="164" fontId="0" fillId="0" borderId="0" xfId="1" applyNumberFormat="1" applyFont="1"/>
    <xf numFmtId="0" fontId="0" fillId="0" borderId="0" xfId="0" applyAlignment="1">
      <alignment horizontal="left"/>
    </xf>
    <xf numFmtId="1" fontId="2" fillId="3" borderId="0" xfId="0" applyNumberFormat="1" applyFont="1" applyFill="1" applyAlignment="1">
      <alignment horizontal="center" vertical="center" wrapText="1"/>
    </xf>
    <xf numFmtId="1" fontId="0" fillId="0" borderId="0" xfId="0" applyNumberFormat="1"/>
    <xf numFmtId="164" fontId="0" fillId="5" borderId="0" xfId="0" applyNumberFormat="1" applyFill="1"/>
    <xf numFmtId="43" fontId="0" fillId="0" borderId="0" xfId="4" applyFont="1"/>
    <xf numFmtId="0" fontId="0" fillId="0" borderId="0" xfId="2" applyNumberFormat="1" applyFont="1"/>
    <xf numFmtId="14" fontId="0" fillId="3" borderId="0" xfId="0" applyNumberFormat="1" applyFill="1"/>
    <xf numFmtId="9" fontId="0" fillId="3" borderId="0" xfId="2" applyFont="1" applyFill="1"/>
    <xf numFmtId="43" fontId="0" fillId="3" borderId="0" xfId="4" applyFont="1" applyFill="1"/>
    <xf numFmtId="0" fontId="0" fillId="6" borderId="0" xfId="0" applyFill="1"/>
    <xf numFmtId="14" fontId="0" fillId="6" borderId="0" xfId="0" applyNumberFormat="1" applyFill="1"/>
    <xf numFmtId="164" fontId="0" fillId="6" borderId="0" xfId="1" applyNumberFormat="1" applyFont="1" applyFill="1"/>
    <xf numFmtId="9" fontId="0" fillId="6" borderId="0" xfId="2" applyFont="1" applyFill="1"/>
    <xf numFmtId="43" fontId="0" fillId="6" borderId="0" xfId="4" applyFont="1" applyFill="1"/>
    <xf numFmtId="166" fontId="0" fillId="0" borderId="0" xfId="4" applyNumberFormat="1" applyFont="1"/>
    <xf numFmtId="0" fontId="2" fillId="3" borderId="1" xfId="0" applyFont="1" applyFill="1" applyBorder="1"/>
    <xf numFmtId="0" fontId="0" fillId="0" borderId="0" xfId="0"/>
    <xf numFmtId="164" fontId="0" fillId="0" borderId="0" xfId="0" applyNumberFormat="1"/>
    <xf numFmtId="0" fontId="0" fillId="0" borderId="0" xfId="0" applyAlignment="1">
      <alignment wrapText="1"/>
    </xf>
    <xf numFmtId="0" fontId="2" fillId="0" borderId="0" xfId="0" applyFont="1"/>
    <xf numFmtId="164" fontId="0" fillId="3" borderId="0" xfId="1" applyNumberFormat="1" applyFont="1" applyFill="1"/>
    <xf numFmtId="10" fontId="0" fillId="3" borderId="0" xfId="2" applyNumberFormat="1" applyFont="1" applyFill="1"/>
    <xf numFmtId="0" fontId="0" fillId="3" borderId="0" xfId="0" applyFill="1"/>
    <xf numFmtId="164" fontId="0" fillId="3" borderId="0" xfId="0" applyNumberFormat="1" applyFill="1"/>
    <xf numFmtId="0" fontId="2" fillId="4" borderId="0" xfId="0" applyFont="1" applyFill="1"/>
    <xf numFmtId="165" fontId="2" fillId="4" borderId="0" xfId="0" applyNumberFormat="1" applyFont="1" applyFill="1"/>
    <xf numFmtId="164" fontId="0" fillId="5" borderId="0" xfId="0" applyNumberFormat="1" applyFill="1"/>
    <xf numFmtId="43" fontId="0" fillId="0" borderId="0" xfId="4" applyFont="1"/>
    <xf numFmtId="2" fontId="0" fillId="0" borderId="0" xfId="0" applyNumberFormat="1"/>
    <xf numFmtId="0" fontId="0" fillId="0" borderId="0" xfId="0" applyAlignment="1">
      <alignment horizontal="left" wrapText="1"/>
    </xf>
    <xf numFmtId="167" fontId="0" fillId="0" borderId="0" xfId="0" applyNumberFormat="1"/>
    <xf numFmtId="168" fontId="0" fillId="0" borderId="0" xfId="0" applyNumberFormat="1"/>
    <xf numFmtId="169" fontId="0" fillId="0" borderId="0" xfId="4" applyNumberFormat="1" applyFont="1"/>
    <xf numFmtId="170" fontId="0" fillId="0" borderId="0" xfId="2" applyNumberFormat="1" applyFont="1"/>
    <xf numFmtId="0" fontId="2" fillId="3" borderId="1" xfId="0" applyFont="1" applyFill="1" applyBorder="1" applyAlignment="1">
      <alignment wrapText="1"/>
    </xf>
    <xf numFmtId="0" fontId="0" fillId="0" borderId="0" xfId="0" applyAlignment="1">
      <alignment horizontal="left" wrapText="1" indent="1"/>
    </xf>
    <xf numFmtId="170" fontId="3" fillId="0" borderId="0" xfId="3" applyNumberFormat="1"/>
    <xf numFmtId="0" fontId="3" fillId="0" borderId="0" xfId="3"/>
    <xf numFmtId="0" fontId="0" fillId="0" borderId="0" xfId="0" applyAlignment="1">
      <alignment horizontal="left" wrapText="1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applyNumberFormat="1"/>
  </cellXfs>
  <cellStyles count="5">
    <cellStyle name="Comma" xfId="4" builtinId="3"/>
    <cellStyle name="Currency" xfId="1" builtinId="4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forward val="2"/>
            <c:dispRSqr val="0"/>
            <c:dispEq val="0"/>
          </c:trendline>
          <c:xVal>
            <c:numRef>
              <c:f>'Fenton House'!$A$2:$A$13</c:f>
              <c:numCache>
                <c:formatCode>General</c:formatCode>
                <c:ptCount val="5"/>
                <c:pt idx="0">
                  <c:v>2130</c:v>
                </c:pt>
                <c:pt idx="1">
                  <c:v>2340</c:v>
                </c:pt>
                <c:pt idx="2">
                  <c:v>2459</c:v>
                </c:pt>
                <c:pt idx="3">
                  <c:v>2545</c:v>
                </c:pt>
                <c:pt idx="4">
                  <c:v>2941</c:v>
                </c:pt>
              </c:numCache>
            </c:numRef>
          </c:xVal>
          <c:yVal>
            <c:numRef>
              <c:f>'Fenton House'!$D$2:$D$13</c:f>
              <c:numCache>
                <c:formatCode>General</c:formatCode>
                <c:ptCount val="5"/>
                <c:pt idx="0">
                  <c:v>213</c:v>
                </c:pt>
                <c:pt idx="1">
                  <c:v>156</c:v>
                </c:pt>
                <c:pt idx="2">
                  <c:v>144</c:v>
                </c:pt>
                <c:pt idx="3">
                  <c:v>141</c:v>
                </c:pt>
                <c:pt idx="4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FAF-4DE7-AF2C-D08202AE346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508506848"/>
        <c:axId val="508503896"/>
      </c:scatterChart>
      <c:valAx>
        <c:axId val="508506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03896"/>
        <c:crosses val="autoZero"/>
        <c:crossBetween val="midCat"/>
      </c:valAx>
      <c:valAx>
        <c:axId val="508503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06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[House Buying.xlsm]Mortgage Rate Historic Data!PivotTable2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 cmpd="sng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'Mortgage Rate Historic Data'!$L$3</c:f>
              <c:strCache>
                <c:ptCount val="1"/>
                <c:pt idx="0">
                  <c:v>Sum of 30 Yr Rates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'Mortgage Rate Historic Data'!$K$4:$K$56</c:f>
              <c:multiLvlStrCache>
                <c:ptCount val="4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  <c:pt idx="34">
                    <c:v>11</c:v>
                  </c:pt>
                  <c:pt idx="35">
                    <c:v>12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  <c:pt idx="40">
                    <c:v>5</c:v>
                  </c:pt>
                  <c:pt idx="41">
                    <c:v>6</c:v>
                  </c:pt>
                  <c:pt idx="42">
                    <c:v>7</c:v>
                  </c:pt>
                  <c:pt idx="43">
                    <c:v>8</c:v>
                  </c:pt>
                  <c:pt idx="44">
                    <c:v>9</c:v>
                  </c:pt>
                  <c:pt idx="45">
                    <c:v>10</c:v>
                  </c:pt>
                  <c:pt idx="46">
                    <c:v>11</c:v>
                  </c:pt>
                  <c:pt idx="47">
                    <c:v>12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'Mortgage Rate Historic Data'!$L$4:$L$56</c:f>
              <c:numCache>
                <c:formatCode>General</c:formatCode>
                <c:ptCount val="48"/>
                <c:pt idx="0">
                  <c:v>3.67</c:v>
                </c:pt>
                <c:pt idx="1">
                  <c:v>3.71</c:v>
                </c:pt>
                <c:pt idx="2">
                  <c:v>3.7699999999999996</c:v>
                </c:pt>
                <c:pt idx="3">
                  <c:v>3.6720000000000006</c:v>
                </c:pt>
                <c:pt idx="4">
                  <c:v>3.84</c:v>
                </c:pt>
                <c:pt idx="5">
                  <c:v>3.9824999999999999</c:v>
                </c:pt>
                <c:pt idx="6">
                  <c:v>4.0460000000000003</c:v>
                </c:pt>
                <c:pt idx="7">
                  <c:v>3.9049999999999998</c:v>
                </c:pt>
                <c:pt idx="8">
                  <c:v>3.8899999999999997</c:v>
                </c:pt>
                <c:pt idx="9">
                  <c:v>3.7959999999999994</c:v>
                </c:pt>
                <c:pt idx="10">
                  <c:v>3.9424999999999999</c:v>
                </c:pt>
                <c:pt idx="11">
                  <c:v>3.964</c:v>
                </c:pt>
                <c:pt idx="12">
                  <c:v>3.8725000000000005</c:v>
                </c:pt>
                <c:pt idx="13">
                  <c:v>3.66</c:v>
                </c:pt>
                <c:pt idx="14">
                  <c:v>3.6940000000000004</c:v>
                </c:pt>
                <c:pt idx="15">
                  <c:v>3.605</c:v>
                </c:pt>
                <c:pt idx="16">
                  <c:v>3.6</c:v>
                </c:pt>
                <c:pt idx="17">
                  <c:v>3.5680000000000001</c:v>
                </c:pt>
                <c:pt idx="18">
                  <c:v>3.4400000000000004</c:v>
                </c:pt>
                <c:pt idx="19">
                  <c:v>3.4350000000000001</c:v>
                </c:pt>
                <c:pt idx="20">
                  <c:v>3.46</c:v>
                </c:pt>
                <c:pt idx="21">
                  <c:v>3.47</c:v>
                </c:pt>
                <c:pt idx="22">
                  <c:v>3.7699999999999996</c:v>
                </c:pt>
                <c:pt idx="23">
                  <c:v>4.1980000000000004</c:v>
                </c:pt>
                <c:pt idx="24">
                  <c:v>4.1500000000000004</c:v>
                </c:pt>
                <c:pt idx="25">
                  <c:v>4.1675000000000004</c:v>
                </c:pt>
                <c:pt idx="26">
                  <c:v>4.1959999999999997</c:v>
                </c:pt>
                <c:pt idx="27">
                  <c:v>4.0449999999999999</c:v>
                </c:pt>
                <c:pt idx="28">
                  <c:v>4.01</c:v>
                </c:pt>
                <c:pt idx="29">
                  <c:v>3.9039999999999999</c:v>
                </c:pt>
                <c:pt idx="30">
                  <c:v>3.9674999999999998</c:v>
                </c:pt>
                <c:pt idx="31">
                  <c:v>3.88</c:v>
                </c:pt>
                <c:pt idx="32">
                  <c:v>3.8050000000000002</c:v>
                </c:pt>
                <c:pt idx="33">
                  <c:v>3.895</c:v>
                </c:pt>
                <c:pt idx="34">
                  <c:v>3.9219999999999997</c:v>
                </c:pt>
                <c:pt idx="35">
                  <c:v>3.95</c:v>
                </c:pt>
                <c:pt idx="36">
                  <c:v>4.0325000000000006</c:v>
                </c:pt>
                <c:pt idx="37">
                  <c:v>4.33</c:v>
                </c:pt>
                <c:pt idx="38">
                  <c:v>4.4440000000000008</c:v>
                </c:pt>
                <c:pt idx="39">
                  <c:v>4.4674999999999994</c:v>
                </c:pt>
                <c:pt idx="40">
                  <c:v>4.5860000000000003</c:v>
                </c:pt>
                <c:pt idx="41">
                  <c:v>4.57</c:v>
                </c:pt>
                <c:pt idx="42">
                  <c:v>4.5274999999999999</c:v>
                </c:pt>
                <c:pt idx="43">
                  <c:v>4.5499999999999989</c:v>
                </c:pt>
                <c:pt idx="44">
                  <c:v>4.6275000000000004</c:v>
                </c:pt>
                <c:pt idx="45">
                  <c:v>4.83</c:v>
                </c:pt>
                <c:pt idx="46">
                  <c:v>4.8659999999999997</c:v>
                </c:pt>
                <c:pt idx="47">
                  <c:v>4.6375000000000002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6A-4C96-8479-AC83B63930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1922776"/>
        <c:axId val="701926712"/>
      </c:lineChart>
      <c:lineChart>
        <c:grouping val="standard"/>
        <c:varyColors val="0"/>
        <c:ser>
          <c:idx val="1"/>
          <c:order val="1"/>
          <c:tx>
            <c:strRef>
              <c:f>'Mortgage Rate Historic Data'!$M$3</c:f>
              <c:strCache>
                <c:ptCount val="1"/>
                <c:pt idx="0">
                  <c:v>Sum of Deviation from Jan</c:v>
                </c:pt>
              </c:strCache>
            </c:strRef>
          </c:tx>
          <c:spPr>
            <a:ln w="28575" cap="rnd" cmpd="sng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'Mortgage Rate Historic Data'!$K$4:$K$56</c:f>
              <c:multiLvlStrCache>
                <c:ptCount val="4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  <c:pt idx="34">
                    <c:v>11</c:v>
                  </c:pt>
                  <c:pt idx="35">
                    <c:v>12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  <c:pt idx="40">
                    <c:v>5</c:v>
                  </c:pt>
                  <c:pt idx="41">
                    <c:v>6</c:v>
                  </c:pt>
                  <c:pt idx="42">
                    <c:v>7</c:v>
                  </c:pt>
                  <c:pt idx="43">
                    <c:v>8</c:v>
                  </c:pt>
                  <c:pt idx="44">
                    <c:v>9</c:v>
                  </c:pt>
                  <c:pt idx="45">
                    <c:v>10</c:v>
                  </c:pt>
                  <c:pt idx="46">
                    <c:v>11</c:v>
                  </c:pt>
                  <c:pt idx="47">
                    <c:v>12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'Mortgage Rate Historic Data'!$M$4:$M$56</c:f>
              <c:numCache>
                <c:formatCode>General</c:formatCode>
                <c:ptCount val="48"/>
                <c:pt idx="0">
                  <c:v>0</c:v>
                </c:pt>
                <c:pt idx="1">
                  <c:v>1.0899182561307912E-2</c:v>
                </c:pt>
                <c:pt idx="2">
                  <c:v>2.7247956403269658E-2</c:v>
                </c:pt>
                <c:pt idx="3">
                  <c:v>5.4495912806557705E-4</c:v>
                </c:pt>
                <c:pt idx="4">
                  <c:v>4.6321525885558566E-2</c:v>
                </c:pt>
                <c:pt idx="5">
                  <c:v>8.5149863760217992E-2</c:v>
                </c:pt>
                <c:pt idx="6">
                  <c:v>0.10245231607629438</c:v>
                </c:pt>
                <c:pt idx="7">
                  <c:v>6.4032697547683898E-2</c:v>
                </c:pt>
                <c:pt idx="8">
                  <c:v>5.9945504087193395E-2</c:v>
                </c:pt>
                <c:pt idx="9">
                  <c:v>3.4332425068119739E-2</c:v>
                </c:pt>
                <c:pt idx="10">
                  <c:v>7.4250681198910068E-2</c:v>
                </c:pt>
                <c:pt idx="11">
                  <c:v>8.0108991825613096E-2</c:v>
                </c:pt>
                <c:pt idx="12">
                  <c:v>0</c:v>
                </c:pt>
                <c:pt idx="13">
                  <c:v>-5.4874112330535914E-2</c:v>
                </c:pt>
                <c:pt idx="14">
                  <c:v>-4.6094254357650119E-2</c:v>
                </c:pt>
                <c:pt idx="15">
                  <c:v>-6.9076823757262873E-2</c:v>
                </c:pt>
                <c:pt idx="16">
                  <c:v>-7.0367979341510747E-2</c:v>
                </c:pt>
                <c:pt idx="17">
                  <c:v>-7.8631375080697327E-2</c:v>
                </c:pt>
                <c:pt idx="18">
                  <c:v>-0.11168495803744352</c:v>
                </c:pt>
                <c:pt idx="19">
                  <c:v>-0.11297611362169152</c:v>
                </c:pt>
                <c:pt idx="20">
                  <c:v>-0.10652033570045202</c:v>
                </c:pt>
                <c:pt idx="21">
                  <c:v>-0.10393802453195616</c:v>
                </c:pt>
                <c:pt idx="22">
                  <c:v>-2.6468689477082225E-2</c:v>
                </c:pt>
                <c:pt idx="23">
                  <c:v>8.4054228534538381E-2</c:v>
                </c:pt>
                <c:pt idx="24">
                  <c:v>0</c:v>
                </c:pt>
                <c:pt idx="25">
                  <c:v>4.2168674698795346E-3</c:v>
                </c:pt>
                <c:pt idx="26">
                  <c:v>1.1084337349397439E-2</c:v>
                </c:pt>
                <c:pt idx="27">
                  <c:v>-2.5301204819277209E-2</c:v>
                </c:pt>
                <c:pt idx="28">
                  <c:v>-3.3734939759036277E-2</c:v>
                </c:pt>
                <c:pt idx="29">
                  <c:v>-5.9277108433735043E-2</c:v>
                </c:pt>
                <c:pt idx="30">
                  <c:v>-4.397590361445796E-2</c:v>
                </c:pt>
                <c:pt idx="31">
                  <c:v>-6.5060240963855528E-2</c:v>
                </c:pt>
                <c:pt idx="32">
                  <c:v>-8.3132530120481968E-2</c:v>
                </c:pt>
                <c:pt idx="33">
                  <c:v>-6.1445783132530199E-2</c:v>
                </c:pt>
                <c:pt idx="34">
                  <c:v>-5.4939759036144731E-2</c:v>
                </c:pt>
                <c:pt idx="35">
                  <c:v>-4.8192771084337387E-2</c:v>
                </c:pt>
                <c:pt idx="36">
                  <c:v>0</c:v>
                </c:pt>
                <c:pt idx="37">
                  <c:v>7.3775573465591909E-2</c:v>
                </c:pt>
                <c:pt idx="38">
                  <c:v>0.10204587724736519</c:v>
                </c:pt>
                <c:pt idx="39">
                  <c:v>0.10787352758834437</c:v>
                </c:pt>
                <c:pt idx="40">
                  <c:v>0.13725976441413504</c:v>
                </c:pt>
                <c:pt idx="41">
                  <c:v>0.1332920024798511</c:v>
                </c:pt>
                <c:pt idx="42">
                  <c:v>0.12275263484190928</c:v>
                </c:pt>
                <c:pt idx="43">
                  <c:v>0.12833230006199584</c:v>
                </c:pt>
                <c:pt idx="44">
                  <c:v>0.14755114693118404</c:v>
                </c:pt>
                <c:pt idx="45">
                  <c:v>0.1977681339119651</c:v>
                </c:pt>
                <c:pt idx="46">
                  <c:v>0.20669559826410389</c:v>
                </c:pt>
                <c:pt idx="47">
                  <c:v>0.15003099814011145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6A-4C96-8479-AC83B63930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3543992"/>
        <c:axId val="703535792"/>
      </c:lineChart>
      <c:catAx>
        <c:axId val="701922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926712"/>
        <c:crosses val="autoZero"/>
        <c:auto val="1"/>
        <c:lblAlgn val="ctr"/>
        <c:lblOffset val="100"/>
        <c:noMultiLvlLbl val="0"/>
      </c:catAx>
      <c:valAx>
        <c:axId val="701926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922776"/>
        <c:crosses val="autoZero"/>
        <c:crossBetween val="between"/>
      </c:valAx>
      <c:valAx>
        <c:axId val="703535792"/>
        <c:scaling>
          <c:orientation val="minMax"/>
        </c:scaling>
        <c:delete val="0"/>
        <c:axPos val="r"/>
        <c:numFmt formatCode="0.0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543992"/>
        <c:crosses val="max"/>
        <c:crossBetween val="between"/>
      </c:valAx>
      <c:catAx>
        <c:axId val="7035439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3535792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285750</xdr:colOff>
      <xdr:row>9</xdr:row>
      <xdr:rowOff>28574</xdr:rowOff>
    </xdr:from>
    <xdr:to>
      <xdr:col>25</xdr:col>
      <xdr:colOff>838200</xdr:colOff>
      <xdr:row>41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699B4C-9948-4AE4-BA43-843BBAD3EF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342900</xdr:colOff>
      <xdr:row>14</xdr:row>
      <xdr:rowOff>103773</xdr:rowOff>
    </xdr:from>
    <xdr:to>
      <xdr:col>15</xdr:col>
      <xdr:colOff>135020</xdr:colOff>
      <xdr:row>41</xdr:row>
      <xdr:rowOff>96315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D2C26BB-00E7-4975-A8D3-246C7DD40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28975" y="1370598"/>
          <a:ext cx="7640720" cy="48788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2</xdr:row>
      <xdr:rowOff>9525</xdr:rowOff>
    </xdr:from>
    <xdr:to>
      <xdr:col>37</xdr:col>
      <xdr:colOff>390525</xdr:colOff>
      <xdr:row>46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56BC3DD-7380-4945-8297-063F546567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ivac/Downloads/House%20Buyin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House Sales Tracking"/>
      <sheetName val="Sheet1"/>
      <sheetName val="St Charles data formatting"/>
      <sheetName val="St Louis County"/>
      <sheetName val="St Charles County"/>
      <sheetName val="Sold houses to track"/>
      <sheetName val="Monthly Payment"/>
      <sheetName val="Points Analysis"/>
      <sheetName val="Lender Comparison"/>
      <sheetName val="Fenton House"/>
      <sheetName val="Upgrades Co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4">
          <cell r="B14">
            <v>47</v>
          </cell>
        </row>
      </sheetData>
      <sheetData sheetId="8"/>
      <sheetData sheetId="9"/>
      <sheetData sheetId="10"/>
      <sheetData sheetId="1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SIVACHARAN CHANDRASEKAR" id="{3957E83A-13C7-4D4D-983D-593C4C0D3E5B}" userId="SIVACHARAN CHANDRASEKAR" providerId="Non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ivacharan Chandrasekar" refreshedDate="44595.755553124996" createdVersion="7" refreshedVersion="7" minRefreshableVersion="3" recordCount="266" xr:uid="{783FADB0-4790-484B-A447-02217310B208}">
  <cacheSource type="worksheet">
    <worksheetSource ref="A1:E267" sheet="Mortgage Rate Historic Data"/>
  </cacheSource>
  <cacheFields count="5">
    <cacheField name="Year" numFmtId="0">
      <sharedItems containsSemiMixedTypes="0" containsString="0" containsNumber="1" containsInteger="1" minValue="2000" maxValue="2022" count="23"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30 Yr Rates" numFmtId="43">
      <sharedItems containsSemiMixedTypes="0" containsString="0" containsNumber="1" minValue="2.6840000000000002" maxValue="8.5149999999999988"/>
    </cacheField>
    <cacheField name="Jan Rates" numFmtId="0">
      <sharedItems containsSemiMixedTypes="0" containsString="0" containsNumber="1" minValue="2.7349999999999999" maxValue="8.2099999999999991"/>
    </cacheField>
    <cacheField name="Deviation from Jan" numFmtId="9">
      <sharedItems containsSemiMixedTypes="0" containsString="0" containsNumber="1" minValue="-0.25938189845474602" maxValue="0.315172817809021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6">
  <r>
    <x v="0"/>
    <x v="0"/>
    <n v="8.2099999999999991"/>
    <n v="8.2099999999999991"/>
    <n v="0"/>
  </r>
  <r>
    <x v="0"/>
    <x v="1"/>
    <n v="8.3250000000000011"/>
    <n v="8.2099999999999991"/>
    <n v="1.4007308160779781E-2"/>
  </r>
  <r>
    <x v="0"/>
    <x v="2"/>
    <n v="8.24"/>
    <n v="8.2099999999999991"/>
    <n v="3.6540803897687139E-3"/>
  </r>
  <r>
    <x v="0"/>
    <x v="3"/>
    <n v="8.1524999999999999"/>
    <n v="8.2099999999999991"/>
    <n v="-7.0036540803896739E-3"/>
  </r>
  <r>
    <x v="0"/>
    <x v="4"/>
    <n v="8.5149999999999988"/>
    <n v="8.2099999999999991"/>
    <n v="3.7149817295980478E-2"/>
  </r>
  <r>
    <x v="0"/>
    <x v="5"/>
    <n v="8.2880000000000003"/>
    <n v="8.2099999999999991"/>
    <n v="9.5006090133984387E-3"/>
  </r>
  <r>
    <x v="0"/>
    <x v="6"/>
    <n v="8.1475000000000009"/>
    <n v="8.2099999999999991"/>
    <n v="-7.6126674786843153E-3"/>
  </r>
  <r>
    <x v="0"/>
    <x v="7"/>
    <n v="8.0274999999999999"/>
    <n v="8.2099999999999991"/>
    <n v="-2.2228989037758738E-2"/>
  </r>
  <r>
    <x v="0"/>
    <x v="8"/>
    <n v="7.9120000000000008"/>
    <n v="8.2099999999999991"/>
    <n v="-3.6297198538367638E-2"/>
  </r>
  <r>
    <x v="0"/>
    <x v="9"/>
    <n v="7.7949999999999999"/>
    <n v="8.2099999999999991"/>
    <n v="-5.054811205846519E-2"/>
  </r>
  <r>
    <x v="0"/>
    <x v="10"/>
    <n v="7.7450000000000001"/>
    <n v="8.2099999999999991"/>
    <n v="-5.6638246041412793E-2"/>
  </r>
  <r>
    <x v="0"/>
    <x v="11"/>
    <n v="7.3820000000000006"/>
    <n v="8.2099999999999991"/>
    <n v="-0.10085261875761249"/>
  </r>
  <r>
    <x v="1"/>
    <x v="0"/>
    <n v="7.0325000000000006"/>
    <n v="7.0325000000000006"/>
    <n v="0"/>
  </r>
  <r>
    <x v="1"/>
    <x v="1"/>
    <n v="7.05"/>
    <n v="7.0325000000000006"/>
    <n v="2.488446498400168E-3"/>
  </r>
  <r>
    <x v="1"/>
    <x v="2"/>
    <n v="6.9520000000000008"/>
    <n v="7.0325000000000006"/>
    <n v="-1.1446853892641278E-2"/>
  </r>
  <r>
    <x v="1"/>
    <x v="3"/>
    <n v="7.0775000000000006"/>
    <n v="7.0325000000000006"/>
    <n v="6.3988624244578638E-3"/>
  </r>
  <r>
    <x v="1"/>
    <x v="4"/>
    <n v="7.1449999999999996"/>
    <n v="7.0325000000000006"/>
    <n v="1.5997156061144532E-2"/>
  </r>
  <r>
    <x v="1"/>
    <x v="5"/>
    <n v="7.160000000000001"/>
    <n v="7.0325000000000006"/>
    <n v="1.8130110202630698E-2"/>
  </r>
  <r>
    <x v="1"/>
    <x v="6"/>
    <n v="7.1275000000000004"/>
    <n v="7.0325000000000006"/>
    <n v="1.3508709562744364E-2"/>
  </r>
  <r>
    <x v="1"/>
    <x v="7"/>
    <n v="6.95"/>
    <n v="7.0325000000000006"/>
    <n v="-1.1731247778172834E-2"/>
  </r>
  <r>
    <x v="1"/>
    <x v="8"/>
    <n v="6.8174999999999999"/>
    <n v="7.0325000000000006"/>
    <n v="-3.057234269463217E-2"/>
  </r>
  <r>
    <x v="1"/>
    <x v="9"/>
    <n v="6.6174999999999997"/>
    <n v="7.0325000000000006"/>
    <n v="-5.9011731247778296E-2"/>
  </r>
  <r>
    <x v="1"/>
    <x v="10"/>
    <n v="6.6579999999999995"/>
    <n v="7.0325000000000006"/>
    <n v="-5.3252755065766245E-2"/>
  </r>
  <r>
    <x v="1"/>
    <x v="11"/>
    <n v="7.0650000000000004"/>
    <n v="7.0325000000000006"/>
    <n v="4.6214006398862069E-3"/>
  </r>
  <r>
    <x v="2"/>
    <x v="0"/>
    <n v="6.9975000000000005"/>
    <n v="6.9975000000000005"/>
    <n v="0"/>
  </r>
  <r>
    <x v="2"/>
    <x v="1"/>
    <n v="6.8924999999999992"/>
    <n v="6.9975000000000005"/>
    <n v="-1.5005359056806189E-2"/>
  </r>
  <r>
    <x v="2"/>
    <x v="2"/>
    <n v="7.0140000000000002"/>
    <n v="6.9975000000000005"/>
    <n v="2.3579849946409053E-3"/>
  </r>
  <r>
    <x v="2"/>
    <x v="3"/>
    <n v="6.9850000000000003"/>
    <n v="6.9975000000000005"/>
    <n v="-1.7863522686674064E-3"/>
  </r>
  <r>
    <x v="2"/>
    <x v="4"/>
    <n v="6.806"/>
    <n v="6.9975000000000005"/>
    <n v="-2.7366916755984343E-2"/>
  </r>
  <r>
    <x v="2"/>
    <x v="5"/>
    <n v="6.65"/>
    <n v="6.9975000000000005"/>
    <n v="-4.9660593068953214E-2"/>
  </r>
  <r>
    <x v="2"/>
    <x v="6"/>
    <n v="6.4850000000000003"/>
    <n v="6.9975000000000005"/>
    <n v="-7.3240443015362644E-2"/>
  </r>
  <r>
    <x v="2"/>
    <x v="7"/>
    <n v="6.2899999999999991"/>
    <n v="6.9975000000000005"/>
    <n v="-0.10110753840657397"/>
  </r>
  <r>
    <x v="2"/>
    <x v="8"/>
    <n v="6.0924999999999994"/>
    <n v="6.9975000000000005"/>
    <n v="-0.12933190425151855"/>
  </r>
  <r>
    <x v="2"/>
    <x v="9"/>
    <n v="6.1124999999999998"/>
    <n v="6.9975000000000005"/>
    <n v="-0.12647374062165068"/>
  </r>
  <r>
    <x v="2"/>
    <x v="10"/>
    <n v="6.0679999999999996"/>
    <n v="6.9975000000000005"/>
    <n v="-0.13283315469810658"/>
  </r>
  <r>
    <x v="2"/>
    <x v="11"/>
    <n v="6.0475000000000003"/>
    <n v="6.9975000000000005"/>
    <n v="-0.13576277241872098"/>
  </r>
  <r>
    <x v="3"/>
    <x v="0"/>
    <n v="5.9159999999999995"/>
    <n v="5.9159999999999995"/>
    <n v="0"/>
  </r>
  <r>
    <x v="3"/>
    <x v="1"/>
    <n v="5.8424999999999994"/>
    <n v="5.9159999999999995"/>
    <n v="-1.2423935091277911E-2"/>
  </r>
  <r>
    <x v="3"/>
    <x v="2"/>
    <n v="5.7450000000000001"/>
    <n v="5.9159999999999995"/>
    <n v="-2.8904665314401518E-2"/>
  </r>
  <r>
    <x v="3"/>
    <x v="3"/>
    <n v="5.8125"/>
    <n v="5.9159999999999995"/>
    <n v="-1.7494929006085107E-2"/>
  </r>
  <r>
    <x v="3"/>
    <x v="4"/>
    <n v="5.484"/>
    <n v="5.9159999999999995"/>
    <n v="-7.3022312373225068E-2"/>
  </r>
  <r>
    <x v="3"/>
    <x v="5"/>
    <n v="5.23"/>
    <n v="5.9159999999999995"/>
    <n v="-0.1159567275185935"/>
  </r>
  <r>
    <x v="3"/>
    <x v="6"/>
    <n v="5.6325000000000003"/>
    <n v="5.9159999999999995"/>
    <n v="-4.7920892494928875E-2"/>
  </r>
  <r>
    <x v="3"/>
    <x v="7"/>
    <n v="6.2640000000000002"/>
    <n v="5.9159999999999995"/>
    <n v="5.8823529411764837E-2"/>
  </r>
  <r>
    <x v="3"/>
    <x v="8"/>
    <n v="6.1475"/>
    <n v="5.9159999999999995"/>
    <n v="3.91311697092631E-2"/>
  </r>
  <r>
    <x v="3"/>
    <x v="9"/>
    <n v="5.952"/>
    <n v="5.9159999999999995"/>
    <n v="6.0851926977688433E-3"/>
  </r>
  <r>
    <x v="3"/>
    <x v="10"/>
    <n v="5.932500000000001"/>
    <n v="5.9159999999999995"/>
    <n v="2.7890466531442725E-3"/>
  </r>
  <r>
    <x v="3"/>
    <x v="11"/>
    <n v="5.8759999999999994"/>
    <n v="5.9159999999999995"/>
    <n v="-6.7613252197430765E-3"/>
  </r>
  <r>
    <x v="4"/>
    <x v="0"/>
    <n v="5.7125000000000004"/>
    <n v="5.7125000000000004"/>
    <n v="0"/>
  </r>
  <r>
    <x v="4"/>
    <x v="1"/>
    <n v="5.6349999999999998"/>
    <n v="5.7125000000000004"/>
    <n v="-1.3566739606127013E-2"/>
  </r>
  <r>
    <x v="4"/>
    <x v="2"/>
    <n v="5.4450000000000003"/>
    <n v="5.7125000000000004"/>
    <n v="-4.682713347921226E-2"/>
  </r>
  <r>
    <x v="4"/>
    <x v="3"/>
    <n v="5.83"/>
    <n v="5.7125000000000004"/>
    <n v="2.0568927789934303E-2"/>
  </r>
  <r>
    <x v="4"/>
    <x v="4"/>
    <n v="6.2700000000000005"/>
    <n v="5.7125000000000004"/>
    <n v="9.7592997811816198E-2"/>
  </r>
  <r>
    <x v="4"/>
    <x v="5"/>
    <n v="6.2874999999999996"/>
    <n v="5.7125000000000004"/>
    <n v="0.10065645514223182"/>
  </r>
  <r>
    <x v="4"/>
    <x v="6"/>
    <n v="6.056"/>
    <n v="5.7125000000000004"/>
    <n v="6.0131291028446332E-2"/>
  </r>
  <r>
    <x v="4"/>
    <x v="7"/>
    <n v="5.8674999999999997"/>
    <n v="5.7125000000000004"/>
    <n v="2.7133479212253717E-2"/>
  </r>
  <r>
    <x v="4"/>
    <x v="8"/>
    <n v="5.7539999999999996"/>
    <n v="5.7125000000000004"/>
    <n v="7.264770240700079E-3"/>
  </r>
  <r>
    <x v="4"/>
    <x v="9"/>
    <n v="5.7225000000000001"/>
    <n v="5.7125000000000004"/>
    <n v="1.7505470459518225E-3"/>
  </r>
  <r>
    <x v="4"/>
    <x v="10"/>
    <n v="5.73"/>
    <n v="5.7125000000000004"/>
    <n v="3.0634573304157671E-3"/>
  </r>
  <r>
    <x v="4"/>
    <x v="11"/>
    <n v="5.7519999999999998"/>
    <n v="5.7125000000000004"/>
    <n v="6.914660831509746E-3"/>
  </r>
  <r>
    <x v="5"/>
    <x v="0"/>
    <n v="5.71"/>
    <n v="5.71"/>
    <n v="0"/>
  </r>
  <r>
    <x v="5"/>
    <x v="1"/>
    <n v="5.6275000000000004"/>
    <n v="5.71"/>
    <n v="-1.4448336252189067E-2"/>
  </r>
  <r>
    <x v="5"/>
    <x v="2"/>
    <n v="5.9279999999999999"/>
    <n v="5.71"/>
    <n v="3.8178633975481609E-2"/>
  </r>
  <r>
    <x v="5"/>
    <x v="3"/>
    <n v="5.8550000000000004"/>
    <n v="5.71"/>
    <n v="2.5394045534150693E-2"/>
  </r>
  <r>
    <x v="5"/>
    <x v="4"/>
    <n v="5.7200000000000006"/>
    <n v="5.71"/>
    <n v="1.7513134851139536E-3"/>
  </r>
  <r>
    <x v="5"/>
    <x v="5"/>
    <n v="5.5819999999999999"/>
    <n v="5.71"/>
    <n v="-2.2416812609457114E-2"/>
  </r>
  <r>
    <x v="5"/>
    <x v="6"/>
    <n v="5.6950000000000003"/>
    <n v="5.71"/>
    <n v="-2.6269702276706971E-3"/>
  </r>
  <r>
    <x v="5"/>
    <x v="7"/>
    <n v="5.82"/>
    <n v="5.71"/>
    <n v="1.9264448336252245E-2"/>
  </r>
  <r>
    <x v="5"/>
    <x v="8"/>
    <n v="5.774"/>
    <n v="5.71"/>
    <n v="1.1208406304728557E-2"/>
  </r>
  <r>
    <x v="5"/>
    <x v="9"/>
    <n v="6.0649999999999995"/>
    <n v="5.71"/>
    <n v="6.2171628721541077E-2"/>
  </r>
  <r>
    <x v="5"/>
    <x v="10"/>
    <n v="6.33"/>
    <n v="5.71"/>
    <n v="0.10858143607705781"/>
  </r>
  <r>
    <x v="5"/>
    <x v="11"/>
    <n v="6.2720000000000002"/>
    <n v="5.71"/>
    <n v="9.84238178633976E-2"/>
  </r>
  <r>
    <x v="6"/>
    <x v="0"/>
    <n v="6.1450000000000005"/>
    <n v="6.1450000000000005"/>
    <n v="0"/>
  </r>
  <r>
    <x v="6"/>
    <x v="1"/>
    <n v="6.2524999999999995"/>
    <n v="6.1450000000000005"/>
    <n v="1.7493897477623928E-2"/>
  </r>
  <r>
    <x v="6"/>
    <x v="2"/>
    <n v="6.3239999999999998"/>
    <n v="6.1450000000000005"/>
    <n v="2.9129373474369304E-2"/>
  </r>
  <r>
    <x v="6"/>
    <x v="3"/>
    <n v="6.5075000000000003"/>
    <n v="6.1450000000000005"/>
    <n v="5.8991049633848623E-2"/>
  </r>
  <r>
    <x v="6"/>
    <x v="4"/>
    <n v="6.5975000000000001"/>
    <n v="6.1450000000000005"/>
    <n v="7.3637103336045506E-2"/>
  </r>
  <r>
    <x v="6"/>
    <x v="5"/>
    <n v="6.6819999999999995"/>
    <n v="6.1450000000000005"/>
    <n v="8.7388120423108048E-2"/>
  </r>
  <r>
    <x v="6"/>
    <x v="6"/>
    <n v="6.7625000000000002"/>
    <n v="6.1450000000000005"/>
    <n v="0.10048820179007317"/>
  </r>
  <r>
    <x v="6"/>
    <x v="7"/>
    <n v="6.5239999999999991"/>
    <n v="6.1450000000000005"/>
    <n v="6.1676159479251202E-2"/>
  </r>
  <r>
    <x v="6"/>
    <x v="8"/>
    <n v="6.402499999999999"/>
    <n v="6.1450000000000005"/>
    <n v="4.1903986981285349E-2"/>
  </r>
  <r>
    <x v="6"/>
    <x v="9"/>
    <n v="6.3574999999999999"/>
    <n v="6.1450000000000005"/>
    <n v="3.4580960130187056E-2"/>
  </r>
  <r>
    <x v="6"/>
    <x v="10"/>
    <n v="6.24"/>
    <n v="6.1450000000000005"/>
    <n v="1.5459723352318917E-2"/>
  </r>
  <r>
    <x v="6"/>
    <x v="11"/>
    <n v="6.1349999999999998"/>
    <n v="6.1450000000000005"/>
    <n v="-1.6273393002442106E-3"/>
  </r>
  <r>
    <x v="7"/>
    <x v="0"/>
    <n v="6.2175000000000002"/>
    <n v="6.2175000000000002"/>
    <n v="0"/>
  </r>
  <r>
    <x v="7"/>
    <x v="1"/>
    <n v="6.2850000000000001"/>
    <n v="6.2175000000000002"/>
    <n v="1.0856453558504205E-2"/>
  </r>
  <r>
    <x v="7"/>
    <x v="2"/>
    <n v="6.1560000000000006"/>
    <n v="6.2175000000000002"/>
    <n v="-9.8914354644149029E-3"/>
  </r>
  <r>
    <x v="7"/>
    <x v="3"/>
    <n v="6.1800000000000006"/>
    <n v="6.2175000000000002"/>
    <n v="-6.0313630880578437E-3"/>
  </r>
  <r>
    <x v="7"/>
    <x v="4"/>
    <n v="6.2620000000000005"/>
    <n v="6.2175000000000002"/>
    <n v="7.1572175311620757E-3"/>
  </r>
  <r>
    <x v="7"/>
    <x v="5"/>
    <n v="6.6575000000000006"/>
    <n v="6.2175000000000002"/>
    <n v="7.0767993566546103E-2"/>
  </r>
  <r>
    <x v="7"/>
    <x v="6"/>
    <n v="6.6950000000000003"/>
    <n v="6.2175000000000002"/>
    <n v="7.679935665460394E-2"/>
  </r>
  <r>
    <x v="7"/>
    <x v="7"/>
    <n v="6.5720000000000001"/>
    <n v="6.2175000000000002"/>
    <n v="5.7016485725773995E-2"/>
  </r>
  <r>
    <x v="7"/>
    <x v="8"/>
    <n v="6.3825000000000003"/>
    <n v="6.2175000000000002"/>
    <n v="2.653799758745477E-2"/>
  </r>
  <r>
    <x v="7"/>
    <x v="9"/>
    <n v="6.375"/>
    <n v="6.2175000000000002"/>
    <n v="2.5331724969843143E-2"/>
  </r>
  <r>
    <x v="7"/>
    <x v="10"/>
    <n v="6.2080000000000002"/>
    <n v="6.2175000000000002"/>
    <n v="-1.5279453156413453E-3"/>
  </r>
  <r>
    <x v="7"/>
    <x v="11"/>
    <n v="6.0950000000000006"/>
    <n v="6.2175000000000002"/>
    <n v="-1.9702452754322412E-2"/>
  </r>
  <r>
    <x v="8"/>
    <x v="0"/>
    <n v="5.7580000000000009"/>
    <n v="5.7580000000000009"/>
    <n v="0"/>
  </r>
  <r>
    <x v="8"/>
    <x v="1"/>
    <n v="5.9175000000000004"/>
    <n v="5.7580000000000009"/>
    <n v="2.7700590482806445E-2"/>
  </r>
  <r>
    <x v="8"/>
    <x v="2"/>
    <n v="5.9700000000000006"/>
    <n v="5.7580000000000009"/>
    <n v="3.6818339701285119E-2"/>
  </r>
  <r>
    <x v="8"/>
    <x v="3"/>
    <n v="5.9175000000000004"/>
    <n v="5.7580000000000009"/>
    <n v="2.7700590482806445E-2"/>
  </r>
  <r>
    <x v="8"/>
    <x v="4"/>
    <n v="6.0359999999999996"/>
    <n v="5.7580000000000009"/>
    <n v="4.8280653004515221E-2"/>
  </r>
  <r>
    <x v="8"/>
    <x v="5"/>
    <n v="6.3199999999999994"/>
    <n v="5.7580000000000009"/>
    <n v="9.7603334491142488E-2"/>
  </r>
  <r>
    <x v="8"/>
    <x v="6"/>
    <n v="6.4259999999999993"/>
    <n v="5.7580000000000009"/>
    <n v="0.11601250434178505"/>
  </r>
  <r>
    <x v="8"/>
    <x v="7"/>
    <n v="6.4774999999999991"/>
    <n v="5.7580000000000009"/>
    <n v="0.12495658214657834"/>
  </r>
  <r>
    <x v="8"/>
    <x v="8"/>
    <n v="6.0374999999999996"/>
    <n v="5.7580000000000009"/>
    <n v="4.8541160125043191E-2"/>
  </r>
  <r>
    <x v="8"/>
    <x v="9"/>
    <n v="6.2"/>
    <n v="5.7580000000000009"/>
    <n v="7.6762764848905735E-2"/>
  </r>
  <r>
    <x v="8"/>
    <x v="10"/>
    <n v="6.0874999999999995"/>
    <n v="5.7580000000000009"/>
    <n v="5.7224730809308531E-2"/>
  </r>
  <r>
    <x v="8"/>
    <x v="11"/>
    <n v="5.2859999999999996"/>
    <n v="5.7580000000000009"/>
    <n v="-8.1972907259465308E-2"/>
  </r>
  <r>
    <x v="9"/>
    <x v="0"/>
    <n v="5.0474999999999994"/>
    <n v="5.0474999999999994"/>
    <n v="0"/>
  </r>
  <r>
    <x v="9"/>
    <x v="1"/>
    <n v="5.13"/>
    <n v="5.0474999999999994"/>
    <n v="1.6344725111441402E-2"/>
  </r>
  <r>
    <x v="9"/>
    <x v="2"/>
    <n v="5.0024999999999995"/>
    <n v="5.0474999999999994"/>
    <n v="-8.9153046062407006E-3"/>
  </r>
  <r>
    <x v="9"/>
    <x v="3"/>
    <n v="4.8100000000000005"/>
    <n v="5.0474999999999994"/>
    <n v="-4.7052996532936889E-2"/>
  </r>
  <r>
    <x v="9"/>
    <x v="4"/>
    <n v="4.8574999999999999"/>
    <n v="5.0474999999999994"/>
    <n v="-3.7642397226349586E-2"/>
  </r>
  <r>
    <x v="9"/>
    <x v="5"/>
    <n v="5.42"/>
    <n v="5.0474999999999994"/>
    <n v="7.379891035165935E-2"/>
  </r>
  <r>
    <x v="9"/>
    <x v="6"/>
    <n v="5.2219999999999995"/>
    <n v="5.0474999999999994"/>
    <n v="3.4571570084200122E-2"/>
  </r>
  <r>
    <x v="9"/>
    <x v="7"/>
    <n v="5.1924999999999999"/>
    <n v="5.0474999999999994"/>
    <n v="2.8727092620109061E-2"/>
  </r>
  <r>
    <x v="9"/>
    <x v="8"/>
    <n v="5.0575000000000001"/>
    <n v="5.0474999999999994"/>
    <n v="1.9811788013869591E-3"/>
  </r>
  <r>
    <x v="9"/>
    <x v="9"/>
    <n v="4.952"/>
    <n v="5.0474999999999994"/>
    <n v="-1.8920257553244078E-2"/>
  </r>
  <r>
    <x v="9"/>
    <x v="10"/>
    <n v="4.875"/>
    <n v="5.0474999999999994"/>
    <n v="-3.4175334323922626E-2"/>
  </r>
  <r>
    <x v="9"/>
    <x v="11"/>
    <n v="4.9300000000000006"/>
    <n v="5.0474999999999994"/>
    <n v="-2.3278850916294967E-2"/>
  </r>
  <r>
    <x v="10"/>
    <x v="0"/>
    <n v="5.0299999999999994"/>
    <n v="5.0299999999999994"/>
    <n v="0"/>
  </r>
  <r>
    <x v="10"/>
    <x v="1"/>
    <n v="4.99"/>
    <n v="5.0299999999999994"/>
    <n v="-7.9522862823059939E-3"/>
  </r>
  <r>
    <x v="10"/>
    <x v="2"/>
    <n v="4.9674999999999994"/>
    <n v="5.0299999999999994"/>
    <n v="-1.2425447316103381E-2"/>
  </r>
  <r>
    <x v="10"/>
    <x v="3"/>
    <n v="5.0979999999999999"/>
    <n v="5.0299999999999994"/>
    <n v="1.3518886679920579E-2"/>
  </r>
  <r>
    <x v="10"/>
    <x v="4"/>
    <n v="4.8875000000000002"/>
    <n v="5.0299999999999994"/>
    <n v="-2.8330019880715547E-2"/>
  </r>
  <r>
    <x v="10"/>
    <x v="5"/>
    <n v="4.7374999999999998"/>
    <n v="5.0299999999999994"/>
    <n v="-5.8151093439363734E-2"/>
  </r>
  <r>
    <x v="10"/>
    <x v="6"/>
    <n v="4.5640000000000001"/>
    <n v="5.0299999999999994"/>
    <n v="-9.2644135188866675E-2"/>
  </r>
  <r>
    <x v="10"/>
    <x v="7"/>
    <n v="4.4275000000000002"/>
    <n v="5.0299999999999994"/>
    <n v="-0.11978131212723643"/>
  </r>
  <r>
    <x v="10"/>
    <x v="8"/>
    <n v="4.3460000000000001"/>
    <n v="5.0299999999999994"/>
    <n v="-0.13598409542743525"/>
  </r>
  <r>
    <x v="10"/>
    <x v="9"/>
    <n v="4.2250000000000005"/>
    <n v="5.0299999999999994"/>
    <n v="-0.16003976143141133"/>
  </r>
  <r>
    <x v="10"/>
    <x v="10"/>
    <n v="4.3000000000000007"/>
    <n v="5.0299999999999994"/>
    <n v="-0.14512922465208722"/>
  </r>
  <r>
    <x v="10"/>
    <x v="11"/>
    <n v="4.7140000000000004"/>
    <n v="5.0299999999999994"/>
    <n v="-6.2823061630218488E-2"/>
  </r>
  <r>
    <x v="11"/>
    <x v="0"/>
    <n v="4.7549999999999999"/>
    <n v="4.7549999999999999"/>
    <n v="0"/>
  </r>
  <r>
    <x v="11"/>
    <x v="1"/>
    <n v="4.9524999999999997"/>
    <n v="4.7549999999999999"/>
    <n v="4.1535226077812785E-2"/>
  </r>
  <r>
    <x v="11"/>
    <x v="2"/>
    <n v="4.8360000000000003"/>
    <n v="4.7549999999999999"/>
    <n v="1.70347003154575E-2"/>
  </r>
  <r>
    <x v="11"/>
    <x v="3"/>
    <n v="4.8400000000000007"/>
    <n v="4.7549999999999999"/>
    <n v="1.7875920084122157E-2"/>
  </r>
  <r>
    <x v="11"/>
    <x v="4"/>
    <n v="4.6374999999999993"/>
    <n v="4.7549999999999999"/>
    <n v="-2.4710830704521684E-2"/>
  </r>
  <r>
    <x v="11"/>
    <x v="5"/>
    <n v="4.51"/>
    <n v="4.7549999999999999"/>
    <n v="-5.1524710830704548E-2"/>
  </r>
  <r>
    <x v="11"/>
    <x v="6"/>
    <n v="4.5449999999999999"/>
    <n v="4.7549999999999999"/>
    <n v="-4.4164037854889586E-2"/>
  </r>
  <r>
    <x v="11"/>
    <x v="7"/>
    <n v="4.2700000000000005"/>
    <n v="4.7549999999999999"/>
    <n v="-0.10199789695057822"/>
  </r>
  <r>
    <x v="11"/>
    <x v="8"/>
    <n v="4.1059999999999999"/>
    <n v="4.7549999999999999"/>
    <n v="-0.13648790746582545"/>
  </r>
  <r>
    <x v="11"/>
    <x v="9"/>
    <n v="4.0675000000000008"/>
    <n v="4.7549999999999999"/>
    <n v="-0.14458464773922169"/>
  </r>
  <r>
    <x v="11"/>
    <x v="10"/>
    <n v="3.9925000000000002"/>
    <n v="4.7549999999999999"/>
    <n v="-0.16035751840168239"/>
  </r>
  <r>
    <x v="11"/>
    <x v="11"/>
    <n v="3.9579999999999997"/>
    <n v="4.7549999999999999"/>
    <n v="-0.16761303890641432"/>
  </r>
  <r>
    <x v="12"/>
    <x v="0"/>
    <n v="3.915"/>
    <n v="3.915"/>
    <n v="0"/>
  </r>
  <r>
    <x v="12"/>
    <x v="1"/>
    <n v="3.8899999999999997"/>
    <n v="3.915"/>
    <n v="-6.3856960408685453E-3"/>
  </r>
  <r>
    <x v="12"/>
    <x v="2"/>
    <n v="3.9539999999999997"/>
    <n v="3.915"/>
    <n v="9.9616858237547134E-3"/>
  </r>
  <r>
    <x v="12"/>
    <x v="3"/>
    <n v="3.91"/>
    <n v="3.915"/>
    <n v="-1.2771392081736637E-3"/>
  </r>
  <r>
    <x v="12"/>
    <x v="4"/>
    <n v="3.7980000000000005"/>
    <n v="3.915"/>
    <n v="-2.9885057471264253E-2"/>
  </r>
  <r>
    <x v="12"/>
    <x v="5"/>
    <n v="3.6749999999999998"/>
    <n v="3.915"/>
    <n v="-6.1302681992337217E-2"/>
  </r>
  <r>
    <x v="12"/>
    <x v="6"/>
    <n v="3.55"/>
    <n v="3.915"/>
    <n v="-9.3231162196679498E-2"/>
  </r>
  <r>
    <x v="12"/>
    <x v="7"/>
    <n v="3.6019999999999994"/>
    <n v="3.915"/>
    <n v="-7.9948914431673207E-2"/>
  </r>
  <r>
    <x v="12"/>
    <x v="8"/>
    <n v="3.4975000000000001"/>
    <n v="3.915"/>
    <n v="-0.10664112388250319"/>
  </r>
  <r>
    <x v="12"/>
    <x v="9"/>
    <n v="3.3825000000000003"/>
    <n v="3.915"/>
    <n v="-0.13601532567049801"/>
  </r>
  <r>
    <x v="12"/>
    <x v="10"/>
    <n v="3.3519999999999994"/>
    <n v="3.915"/>
    <n v="-0.14380587484035776"/>
  </r>
  <r>
    <x v="12"/>
    <x v="11"/>
    <n v="3.3450000000000002"/>
    <n v="3.915"/>
    <n v="-0.14559386973180072"/>
  </r>
  <r>
    <x v="13"/>
    <x v="0"/>
    <n v="3.4140000000000001"/>
    <n v="3.4140000000000001"/>
    <n v="0"/>
  </r>
  <r>
    <x v="13"/>
    <x v="1"/>
    <n v="3.5324999999999998"/>
    <n v="3.4140000000000001"/>
    <n v="3.4710017574692324E-2"/>
  </r>
  <r>
    <x v="13"/>
    <x v="2"/>
    <n v="3.5650000000000004"/>
    <n v="3.4140000000000001"/>
    <n v="4.4229642647920397E-2"/>
  </r>
  <r>
    <x v="13"/>
    <x v="3"/>
    <n v="3.4450000000000003"/>
    <n v="3.4140000000000001"/>
    <n v="9.0802577621558692E-3"/>
  </r>
  <r>
    <x v="13"/>
    <x v="4"/>
    <n v="3.536"/>
    <n v="3.4140000000000001"/>
    <n v="3.5735207967193872E-2"/>
  </r>
  <r>
    <x v="13"/>
    <x v="5"/>
    <n v="4.07"/>
    <n v="3.4140000000000001"/>
    <n v="0.19214997070884596"/>
  </r>
  <r>
    <x v="13"/>
    <x v="6"/>
    <n v="4.37"/>
    <n v="3.4140000000000001"/>
    <n v="0.28002343292325715"/>
  </r>
  <r>
    <x v="13"/>
    <x v="7"/>
    <n v="4.4560000000000004"/>
    <n v="3.4140000000000001"/>
    <n v="0.30521382542472181"/>
  </r>
  <r>
    <x v="13"/>
    <x v="8"/>
    <n v="4.49"/>
    <n v="3.4140000000000001"/>
    <n v="0.31517281780902168"/>
  </r>
  <r>
    <x v="13"/>
    <x v="9"/>
    <n v="4.1920000000000002"/>
    <n v="3.4140000000000001"/>
    <n v="0.22788517867603983"/>
  </r>
  <r>
    <x v="13"/>
    <x v="10"/>
    <n v="4.2549999999999999"/>
    <n v="3.4140000000000001"/>
    <n v="0.24633860574106611"/>
  </r>
  <r>
    <x v="13"/>
    <x v="11"/>
    <n v="4.4574999999999996"/>
    <n v="3.4140000000000001"/>
    <n v="0.30565319273579361"/>
  </r>
  <r>
    <x v="14"/>
    <x v="0"/>
    <n v="4.4320000000000004"/>
    <n v="4.4320000000000004"/>
    <n v="0"/>
  </r>
  <r>
    <x v="14"/>
    <x v="1"/>
    <n v="4.3025000000000002"/>
    <n v="4.4320000000000004"/>
    <n v="-2.921931407942242E-2"/>
  </r>
  <r>
    <x v="14"/>
    <x v="2"/>
    <n v="4.3425000000000002"/>
    <n v="4.4320000000000004"/>
    <n v="-2.0194043321299669E-2"/>
  </r>
  <r>
    <x v="14"/>
    <x v="3"/>
    <n v="4.3375000000000004"/>
    <n v="4.4320000000000004"/>
    <n v="-2.1322202166064987E-2"/>
  </r>
  <r>
    <x v="14"/>
    <x v="4"/>
    <n v="4.1920000000000002"/>
    <n v="4.4320000000000004"/>
    <n v="-5.4151624548736503E-2"/>
  </r>
  <r>
    <x v="14"/>
    <x v="5"/>
    <n v="4.1624999999999996"/>
    <n v="4.4320000000000004"/>
    <n v="-6.0807761732852149E-2"/>
  </r>
  <r>
    <x v="14"/>
    <x v="6"/>
    <n v="4.13"/>
    <n v="4.4320000000000004"/>
    <n v="-6.8140794223826823E-2"/>
  </r>
  <r>
    <x v="14"/>
    <x v="7"/>
    <n v="4.1150000000000002"/>
    <n v="4.4320000000000004"/>
    <n v="-7.1525270758122775E-2"/>
  </r>
  <r>
    <x v="14"/>
    <x v="8"/>
    <n v="4.1624999999999996"/>
    <n v="4.4320000000000004"/>
    <n v="-6.0807761732852149E-2"/>
  </r>
  <r>
    <x v="14"/>
    <x v="9"/>
    <n v="4.0360000000000005"/>
    <n v="4.4320000000000004"/>
    <n v="-8.9350180505415128E-2"/>
  </r>
  <r>
    <x v="14"/>
    <x v="10"/>
    <n v="3.9975000000000001"/>
    <n v="4.4320000000000004"/>
    <n v="-9.8037003610108364E-2"/>
  </r>
  <r>
    <x v="14"/>
    <x v="11"/>
    <n v="3.8639999999999999"/>
    <n v="4.4320000000000004"/>
    <n v="-0.12815884476534306"/>
  </r>
  <r>
    <x v="15"/>
    <x v="0"/>
    <n v="3.67"/>
    <n v="3.67"/>
    <n v="0"/>
  </r>
  <r>
    <x v="15"/>
    <x v="1"/>
    <n v="3.71"/>
    <n v="3.67"/>
    <n v="1.0899182561307912E-2"/>
  </r>
  <r>
    <x v="15"/>
    <x v="2"/>
    <n v="3.7699999999999996"/>
    <n v="3.67"/>
    <n v="2.7247956403269658E-2"/>
  </r>
  <r>
    <x v="15"/>
    <x v="3"/>
    <n v="3.6720000000000006"/>
    <n v="3.67"/>
    <n v="5.4495912806557705E-4"/>
  </r>
  <r>
    <x v="15"/>
    <x v="4"/>
    <n v="3.84"/>
    <n v="3.67"/>
    <n v="4.6321525885558566E-2"/>
  </r>
  <r>
    <x v="15"/>
    <x v="5"/>
    <n v="3.9824999999999999"/>
    <n v="3.67"/>
    <n v="8.5149863760217992E-2"/>
  </r>
  <r>
    <x v="15"/>
    <x v="6"/>
    <n v="4.0460000000000003"/>
    <n v="3.67"/>
    <n v="0.10245231607629438"/>
  </r>
  <r>
    <x v="15"/>
    <x v="7"/>
    <n v="3.9049999999999998"/>
    <n v="3.67"/>
    <n v="6.4032697547683898E-2"/>
  </r>
  <r>
    <x v="15"/>
    <x v="8"/>
    <n v="3.8899999999999997"/>
    <n v="3.67"/>
    <n v="5.9945504087193395E-2"/>
  </r>
  <r>
    <x v="15"/>
    <x v="9"/>
    <n v="3.7959999999999994"/>
    <n v="3.67"/>
    <n v="3.4332425068119739E-2"/>
  </r>
  <r>
    <x v="15"/>
    <x v="10"/>
    <n v="3.9424999999999999"/>
    <n v="3.67"/>
    <n v="7.4250681198910068E-2"/>
  </r>
  <r>
    <x v="15"/>
    <x v="11"/>
    <n v="3.964"/>
    <n v="3.67"/>
    <n v="8.0108991825613096E-2"/>
  </r>
  <r>
    <x v="16"/>
    <x v="0"/>
    <n v="3.8725000000000005"/>
    <n v="3.8725000000000005"/>
    <n v="0"/>
  </r>
  <r>
    <x v="16"/>
    <x v="1"/>
    <n v="3.66"/>
    <n v="3.8725000000000005"/>
    <n v="-5.4874112330535914E-2"/>
  </r>
  <r>
    <x v="16"/>
    <x v="2"/>
    <n v="3.6940000000000004"/>
    <n v="3.8725000000000005"/>
    <n v="-4.6094254357650119E-2"/>
  </r>
  <r>
    <x v="16"/>
    <x v="3"/>
    <n v="3.605"/>
    <n v="3.8725000000000005"/>
    <n v="-6.9076823757262873E-2"/>
  </r>
  <r>
    <x v="16"/>
    <x v="4"/>
    <n v="3.6"/>
    <n v="3.8725000000000005"/>
    <n v="-7.0367979341510747E-2"/>
  </r>
  <r>
    <x v="16"/>
    <x v="5"/>
    <n v="3.5680000000000001"/>
    <n v="3.8725000000000005"/>
    <n v="-7.8631375080697327E-2"/>
  </r>
  <r>
    <x v="16"/>
    <x v="6"/>
    <n v="3.4400000000000004"/>
    <n v="3.8725000000000005"/>
    <n v="-0.11168495803744352"/>
  </r>
  <r>
    <x v="16"/>
    <x v="7"/>
    <n v="3.4350000000000001"/>
    <n v="3.8725000000000005"/>
    <n v="-0.11297611362169152"/>
  </r>
  <r>
    <x v="16"/>
    <x v="8"/>
    <n v="3.46"/>
    <n v="3.8725000000000005"/>
    <n v="-0.10652033570045202"/>
  </r>
  <r>
    <x v="16"/>
    <x v="9"/>
    <n v="3.47"/>
    <n v="3.8725000000000005"/>
    <n v="-0.10393802453195616"/>
  </r>
  <r>
    <x v="16"/>
    <x v="10"/>
    <n v="3.7699999999999996"/>
    <n v="3.8725000000000005"/>
    <n v="-2.6468689477082225E-2"/>
  </r>
  <r>
    <x v="16"/>
    <x v="11"/>
    <n v="4.1980000000000004"/>
    <n v="3.8725000000000005"/>
    <n v="8.4054228534538381E-2"/>
  </r>
  <r>
    <x v="17"/>
    <x v="0"/>
    <n v="4.1500000000000004"/>
    <n v="4.1500000000000004"/>
    <n v="0"/>
  </r>
  <r>
    <x v="17"/>
    <x v="1"/>
    <n v="4.1675000000000004"/>
    <n v="4.1500000000000004"/>
    <n v="4.2168674698795346E-3"/>
  </r>
  <r>
    <x v="17"/>
    <x v="2"/>
    <n v="4.1959999999999997"/>
    <n v="4.1500000000000004"/>
    <n v="1.1084337349397439E-2"/>
  </r>
  <r>
    <x v="17"/>
    <x v="3"/>
    <n v="4.0449999999999999"/>
    <n v="4.1500000000000004"/>
    <n v="-2.5301204819277209E-2"/>
  </r>
  <r>
    <x v="17"/>
    <x v="4"/>
    <n v="4.01"/>
    <n v="4.1500000000000004"/>
    <n v="-3.3734939759036277E-2"/>
  </r>
  <r>
    <x v="17"/>
    <x v="5"/>
    <n v="3.9039999999999999"/>
    <n v="4.1500000000000004"/>
    <n v="-5.9277108433735043E-2"/>
  </r>
  <r>
    <x v="17"/>
    <x v="6"/>
    <n v="3.9674999999999998"/>
    <n v="4.1500000000000004"/>
    <n v="-4.397590361445796E-2"/>
  </r>
  <r>
    <x v="17"/>
    <x v="7"/>
    <n v="3.88"/>
    <n v="4.1500000000000004"/>
    <n v="-6.5060240963855528E-2"/>
  </r>
  <r>
    <x v="17"/>
    <x v="8"/>
    <n v="3.8050000000000002"/>
    <n v="4.1500000000000004"/>
    <n v="-8.3132530120481968E-2"/>
  </r>
  <r>
    <x v="17"/>
    <x v="9"/>
    <n v="3.895"/>
    <n v="4.1500000000000004"/>
    <n v="-6.1445783132530199E-2"/>
  </r>
  <r>
    <x v="17"/>
    <x v="10"/>
    <n v="3.9219999999999997"/>
    <n v="4.1500000000000004"/>
    <n v="-5.4939759036144731E-2"/>
  </r>
  <r>
    <x v="17"/>
    <x v="11"/>
    <n v="3.95"/>
    <n v="4.1500000000000004"/>
    <n v="-4.8192771084337387E-2"/>
  </r>
  <r>
    <x v="18"/>
    <x v="0"/>
    <n v="4.0325000000000006"/>
    <n v="4.0325000000000006"/>
    <n v="0"/>
  </r>
  <r>
    <x v="18"/>
    <x v="1"/>
    <n v="4.33"/>
    <n v="4.0325000000000006"/>
    <n v="7.3775573465591909E-2"/>
  </r>
  <r>
    <x v="18"/>
    <x v="2"/>
    <n v="4.4440000000000008"/>
    <n v="4.0325000000000006"/>
    <n v="0.10204587724736519"/>
  </r>
  <r>
    <x v="18"/>
    <x v="3"/>
    <n v="4.4674999999999994"/>
    <n v="4.0325000000000006"/>
    <n v="0.10787352758834437"/>
  </r>
  <r>
    <x v="18"/>
    <x v="4"/>
    <n v="4.5860000000000003"/>
    <n v="4.0325000000000006"/>
    <n v="0.13725976441413504"/>
  </r>
  <r>
    <x v="18"/>
    <x v="5"/>
    <n v="4.57"/>
    <n v="4.0325000000000006"/>
    <n v="0.1332920024798511"/>
  </r>
  <r>
    <x v="18"/>
    <x v="6"/>
    <n v="4.5274999999999999"/>
    <n v="4.0325000000000006"/>
    <n v="0.12275263484190928"/>
  </r>
  <r>
    <x v="18"/>
    <x v="7"/>
    <n v="4.5499999999999989"/>
    <n v="4.0325000000000006"/>
    <n v="0.12833230006199584"/>
  </r>
  <r>
    <x v="18"/>
    <x v="8"/>
    <n v="4.6275000000000004"/>
    <n v="4.0325000000000006"/>
    <n v="0.14755114693118404"/>
  </r>
  <r>
    <x v="18"/>
    <x v="9"/>
    <n v="4.83"/>
    <n v="4.0325000000000006"/>
    <n v="0.1977681339119651"/>
  </r>
  <r>
    <x v="18"/>
    <x v="10"/>
    <n v="4.8659999999999997"/>
    <n v="4.0325000000000006"/>
    <n v="0.20669559826410389"/>
  </r>
  <r>
    <x v="18"/>
    <x v="11"/>
    <n v="4.6375000000000002"/>
    <n v="4.0325000000000006"/>
    <n v="0.15003099814011145"/>
  </r>
  <r>
    <x v="19"/>
    <x v="0"/>
    <n v="4.4640000000000004"/>
    <n v="4.4640000000000004"/>
    <n v="0"/>
  </r>
  <r>
    <x v="19"/>
    <x v="1"/>
    <n v="4.37"/>
    <n v="4.4640000000000004"/>
    <n v="-2.1057347670250963E-2"/>
  </r>
  <r>
    <x v="19"/>
    <x v="2"/>
    <n v="4.2649999999999997"/>
    <n v="4.4640000000000004"/>
    <n v="-4.4578853046595139E-2"/>
  </r>
  <r>
    <x v="19"/>
    <x v="3"/>
    <n v="4.1425000000000001"/>
    <n v="4.4640000000000004"/>
    <n v="-7.2020609318996481E-2"/>
  </r>
  <r>
    <x v="19"/>
    <x v="4"/>
    <n v="4.0720000000000001"/>
    <n v="4.4640000000000004"/>
    <n v="-8.7813620071684653E-2"/>
  </r>
  <r>
    <x v="19"/>
    <x v="5"/>
    <n v="3.8025000000000002"/>
    <n v="4.4640000000000004"/>
    <n v="-0.14818548387096778"/>
  </r>
  <r>
    <x v="19"/>
    <x v="6"/>
    <n v="3.7650000000000001"/>
    <n v="4.4640000000000004"/>
    <n v="-0.1565860215053764"/>
  </r>
  <r>
    <x v="19"/>
    <x v="7"/>
    <n v="3.6159999999999997"/>
    <n v="4.4640000000000004"/>
    <n v="-0.18996415770609335"/>
  </r>
  <r>
    <x v="19"/>
    <x v="8"/>
    <n v="3.6050000000000004"/>
    <n v="4.4640000000000004"/>
    <n v="-0.19242831541218636"/>
  </r>
  <r>
    <x v="19"/>
    <x v="9"/>
    <n v="3.6880000000000002"/>
    <n v="4.4640000000000004"/>
    <n v="-0.1738351254480287"/>
  </r>
  <r>
    <x v="19"/>
    <x v="10"/>
    <n v="3.6949999999999998"/>
    <n v="4.4640000000000004"/>
    <n v="-0.17226702508960584"/>
  </r>
  <r>
    <x v="19"/>
    <x v="11"/>
    <n v="3.72"/>
    <n v="4.4640000000000004"/>
    <n v="-0.16666666666666671"/>
  </r>
  <r>
    <x v="20"/>
    <x v="0"/>
    <n v="3.6239999999999997"/>
    <n v="3.6239999999999997"/>
    <n v="0"/>
  </r>
  <r>
    <x v="20"/>
    <x v="1"/>
    <n v="3.4649999999999999"/>
    <n v="3.6239999999999997"/>
    <n v="-4.3874172185430417E-2"/>
  </r>
  <r>
    <x v="20"/>
    <x v="2"/>
    <n v="3.45"/>
    <n v="3.6239999999999997"/>
    <n v="-4.8013245033112446E-2"/>
  </r>
  <r>
    <x v="20"/>
    <x v="3"/>
    <n v="3.306"/>
    <n v="3.6239999999999997"/>
    <n v="-8.7748344370860834E-2"/>
  </r>
  <r>
    <x v="20"/>
    <x v="4"/>
    <n v="3.2324999999999999"/>
    <n v="3.6239999999999997"/>
    <n v="-0.10802980132450325"/>
  </r>
  <r>
    <x v="20"/>
    <x v="5"/>
    <n v="3.1624999999999996"/>
    <n v="3.6239999999999997"/>
    <n v="-0.12734547461368656"/>
  </r>
  <r>
    <x v="20"/>
    <x v="6"/>
    <n v="3.016"/>
    <n v="3.6239999999999997"/>
    <n v="-0.16777041942604848"/>
  </r>
  <r>
    <x v="20"/>
    <x v="7"/>
    <n v="2.9350000000000001"/>
    <n v="3.6239999999999997"/>
    <n v="-0.19012141280353193"/>
  </r>
  <r>
    <x v="20"/>
    <x v="8"/>
    <n v="2.89"/>
    <n v="3.6239999999999997"/>
    <n v="-0.20253863134657826"/>
  </r>
  <r>
    <x v="20"/>
    <x v="9"/>
    <n v="2.8340000000000001"/>
    <n v="3.6239999999999997"/>
    <n v="-0.21799116997792486"/>
  </r>
  <r>
    <x v="20"/>
    <x v="10"/>
    <n v="2.7650000000000001"/>
    <n v="3.6239999999999997"/>
    <n v="-0.2370309050772626"/>
  </r>
  <r>
    <x v="20"/>
    <x v="11"/>
    <n v="2.6840000000000002"/>
    <n v="3.6239999999999997"/>
    <n v="-0.25938189845474602"/>
  </r>
  <r>
    <x v="21"/>
    <x v="0"/>
    <n v="2.7349999999999999"/>
    <n v="2.7349999999999999"/>
    <n v="0"/>
  </r>
  <r>
    <x v="21"/>
    <x v="1"/>
    <n v="2.81"/>
    <n v="2.7349999999999999"/>
    <n v="2.7422303473491838E-2"/>
  </r>
  <r>
    <x v="21"/>
    <x v="2"/>
    <n v="3.0825"/>
    <n v="2.7349999999999999"/>
    <n v="0.12705667276051194"/>
  </r>
  <r>
    <x v="21"/>
    <x v="3"/>
    <n v="3.0600000000000005"/>
    <n v="2.7349999999999999"/>
    <n v="0.11882998171846458"/>
  </r>
  <r>
    <x v="21"/>
    <x v="4"/>
    <n v="2.9625000000000004"/>
    <n v="2.7349999999999999"/>
    <n v="8.318098720292523E-2"/>
  </r>
  <r>
    <x v="21"/>
    <x v="5"/>
    <n v="2.9750000000000001"/>
    <n v="2.7349999999999999"/>
    <n v="8.7751371115173754E-2"/>
  </r>
  <r>
    <x v="21"/>
    <x v="6"/>
    <n v="2.8679999999999999"/>
    <n v="2.7349999999999999"/>
    <n v="4.8628884826325415E-2"/>
  </r>
  <r>
    <x v="21"/>
    <x v="7"/>
    <n v="2.8425000000000002"/>
    <n v="2.7349999999999999"/>
    <n v="3.9305301645338346E-2"/>
  </r>
  <r>
    <x v="21"/>
    <x v="8"/>
    <n v="2.8999999999999995"/>
    <n v="2.7349999999999999"/>
    <n v="6.0329067641681756E-2"/>
  </r>
  <r>
    <x v="21"/>
    <x v="9"/>
    <n v="3.0674999999999999"/>
    <n v="2.7349999999999999"/>
    <n v="0.12157221206581353"/>
  </r>
  <r>
    <x v="21"/>
    <x v="10"/>
    <n v="3.0674999999999999"/>
    <n v="2.7349999999999999"/>
    <n v="0.12157221206581353"/>
  </r>
  <r>
    <x v="21"/>
    <x v="11"/>
    <n v="3.0979999999999999"/>
    <n v="2.7349999999999999"/>
    <n v="0.13272394881170019"/>
  </r>
  <r>
    <x v="22"/>
    <x v="0"/>
    <n v="3.4450000000000003"/>
    <n v="3.4450000000000003"/>
    <n v="0"/>
  </r>
  <r>
    <x v="22"/>
    <x v="1"/>
    <n v="3.55"/>
    <n v="3.4450000000000003"/>
    <n v="3.0478955007256756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D3843D-E560-49AE-A93B-BBE7EC2F273A}" name="PivotTable2" cacheId="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K3:M56" firstHeaderRow="0" firstDataRow="1" firstDataCol="1"/>
  <pivotFields count="5">
    <pivotField axis="axisRow" showAll="0">
      <items count="24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x="15"/>
        <item x="16"/>
        <item x="17"/>
        <item x="18"/>
        <item h="1" x="19"/>
        <item h="1" x="20"/>
        <item h="1" x="21"/>
        <item h="1" x="22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numFmtId="43" showAll="0"/>
    <pivotField showAll="0"/>
    <pivotField dataField="1" numFmtId="9" showAll="0"/>
  </pivotFields>
  <rowFields count="2">
    <field x="0"/>
    <field x="1"/>
  </rowFields>
  <rowItems count="53">
    <i>
      <x v="1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30 Yr Rates" fld="2" baseField="0" baseItem="0"/>
    <dataField name="Sum of Deviation from Jan" fld="4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3" dT="2022-01-31T16:45:32.66" personId="{3957E83A-13C7-4D4D-983D-593C4C0D3E5B}" id="{37A28D76-DFE4-4C0F-9EF0-69A2880DD416}">
    <text>+6211 in points</text>
  </threadedComment>
  <threadedComment ref="F3" dT="2022-01-31T16:48:23.65" personId="{3957E83A-13C7-4D4D-983D-593C4C0D3E5B}" id="{6F39DF09-45E6-4BB6-B32E-9D7803DE9536}">
    <text>.699 points = 2307</text>
  </threadedComment>
  <threadedComment ref="G3" dT="2022-01-31T16:50:28.25" personId="{3957E83A-13C7-4D4D-983D-593C4C0D3E5B}" id="{5A2D813E-D512-4EEB-BD8C-86A2BED432B7}">
    <text>3.125% for 0.403 points (1330 USD)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hyperlink" Target="https://stlcogis.maps.arcgis.com/apps/webappviewer/index.html?id=e70f8f1814a34cd7bf8f6766bd950c68&amp;query=Parcels,Locator,23V211493" TargetMode="External"/><Relationship Id="rId1" Type="http://schemas.openxmlformats.org/officeDocument/2006/relationships/hyperlink" Target="https://www.rocketmortgage.com/learn/closing-costs" TargetMode="Externa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hyperlink" Target="https://www.bankofamerica.com/mortgage/mortgage-rates/" TargetMode="External"/><Relationship Id="rId7" Type="http://schemas.openxmlformats.org/officeDocument/2006/relationships/comments" Target="../comments3.xml"/><Relationship Id="rId2" Type="http://schemas.openxmlformats.org/officeDocument/2006/relationships/hyperlink" Target="https://carlsonstl.com/features/st-louis-home-loans-mortgage-interest-rates/" TargetMode="External"/><Relationship Id="rId1" Type="http://schemas.openxmlformats.org/officeDocument/2006/relationships/hyperlink" Target="https://better.com/mortgage-rates/purchase/mo/o-fallon?ficoRange%5B0%5D=760&amp;ficoRange%5B1%5D=850&amp;homeValue=480000&amp;propertyUsage=PrimaryResidence&amp;propertyType=Single%20Family&amp;loanAmount=330000&amp;zipCode=63368&amp;cashOutAmount=0&amp;selectedUnlicensedState=false&amp;firstTimeHomeBuyer=true&amp;leadSource=&amp;pricingVariant=pricing_test_6" TargetMode="External"/><Relationship Id="rId6" Type="http://schemas.openxmlformats.org/officeDocument/2006/relationships/vmlDrawing" Target="../drawings/vmlDrawing3.vml"/><Relationship Id="rId5" Type="http://schemas.openxmlformats.org/officeDocument/2006/relationships/hyperlink" Target="https://www.nbkc.com/home-loans" TargetMode="External"/><Relationship Id="rId4" Type="http://schemas.openxmlformats.org/officeDocument/2006/relationships/hyperlink" Target="https://homefinity.com/mortgage-rates/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AFBC0-4269-4E63-9C4B-C7F85305B939}">
  <dimension ref="A1:J10"/>
  <sheetViews>
    <sheetView workbookViewId="0">
      <selection activeCell="F4" sqref="F4"/>
    </sheetView>
  </sheetViews>
  <sheetFormatPr defaultRowHeight="14.25" x14ac:dyDescent="0.2"/>
  <cols>
    <col min="1" max="1" width="28.875" bestFit="1" customWidth="1"/>
    <col min="2" max="2" width="59.625" style="16" customWidth="1"/>
    <col min="5" max="5" width="30.125" bestFit="1" customWidth="1"/>
    <col min="6" max="7" width="12.125" bestFit="1" customWidth="1"/>
    <col min="10" max="10" width="12.125" bestFit="1" customWidth="1"/>
  </cols>
  <sheetData>
    <row r="1" spans="1:10" x14ac:dyDescent="0.2">
      <c r="A1" t="s">
        <v>2</v>
      </c>
      <c r="B1" s="16" t="s">
        <v>3</v>
      </c>
      <c r="E1" s="5" t="s">
        <v>6</v>
      </c>
      <c r="F1" s="5"/>
      <c r="J1" s="2"/>
    </row>
    <row r="2" spans="1:10" ht="42.75" x14ac:dyDescent="0.2">
      <c r="A2" t="s">
        <v>21</v>
      </c>
      <c r="B2" s="17" t="s">
        <v>22</v>
      </c>
      <c r="E2" s="5" t="s">
        <v>7</v>
      </c>
      <c r="F2" s="6">
        <v>7.0000000000000007E-2</v>
      </c>
    </row>
    <row r="3" spans="1:10" x14ac:dyDescent="0.2">
      <c r="A3" t="s">
        <v>5</v>
      </c>
      <c r="B3" s="16" t="s">
        <v>4</v>
      </c>
      <c r="E3" s="5" t="s">
        <v>9</v>
      </c>
      <c r="F3" s="7">
        <v>4115</v>
      </c>
    </row>
    <row r="4" spans="1:10" x14ac:dyDescent="0.2">
      <c r="A4" t="s">
        <v>10</v>
      </c>
      <c r="B4" s="16" t="s">
        <v>17</v>
      </c>
      <c r="E4" s="5" t="s">
        <v>8</v>
      </c>
      <c r="F4" s="8">
        <f>F3/(F2*0.19)</f>
        <v>309398.49624060147</v>
      </c>
    </row>
    <row r="5" spans="1:10" x14ac:dyDescent="0.2">
      <c r="A5" t="s">
        <v>15</v>
      </c>
      <c r="B5" s="16" t="s">
        <v>16</v>
      </c>
    </row>
    <row r="6" spans="1:10" x14ac:dyDescent="0.2">
      <c r="F6" t="s">
        <v>11</v>
      </c>
      <c r="G6" t="s">
        <v>12</v>
      </c>
    </row>
    <row r="7" spans="1:10" x14ac:dyDescent="0.2">
      <c r="A7" t="s">
        <v>19</v>
      </c>
      <c r="B7" s="17" t="s">
        <v>20</v>
      </c>
      <c r="E7" s="9" t="s">
        <v>13</v>
      </c>
      <c r="F7" s="4">
        <f>F4*1.02</f>
        <v>315586.4661654135</v>
      </c>
      <c r="G7" s="4">
        <f>F4*1.05</f>
        <v>324868.42105263157</v>
      </c>
    </row>
    <row r="8" spans="1:10" x14ac:dyDescent="0.2">
      <c r="E8" s="9" t="s">
        <v>14</v>
      </c>
      <c r="F8" s="4">
        <f>F4*1.1</f>
        <v>340338.34586466162</v>
      </c>
      <c r="G8" s="4">
        <f>F4*1.2</f>
        <v>371278.19548872177</v>
      </c>
    </row>
    <row r="10" spans="1:10" x14ac:dyDescent="0.2">
      <c r="E10" s="3"/>
    </row>
  </sheetData>
  <hyperlinks>
    <hyperlink ref="B7" r:id="rId1" location=":~:text=Closing%20costs%20can%20make%20up,t%20include%20your%20down%20payment." display="https://www.rocketmortgage.com/learn/closing-costs - :~:text=Closing%20costs%20can%20make%20up,t%20include%20your%20down%20payment." xr:uid="{09FC020A-0574-4E73-BA33-E8292EF50B18}"/>
    <hyperlink ref="B2" r:id="rId2" xr:uid="{E1A811D8-498E-468A-B507-535E285C3072}"/>
  </hyperlinks>
  <pageMargins left="0.7" right="0.7" top="0.75" bottom="0.75" header="0.3" footer="0.3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DD88E-F951-4ED7-8ABF-7A921BF364C8}">
  <dimension ref="A1:H24"/>
  <sheetViews>
    <sheetView workbookViewId="0">
      <selection activeCell="D15" sqref="D15"/>
    </sheetView>
  </sheetViews>
  <sheetFormatPr defaultColWidth="15.625" defaultRowHeight="14.25" x14ac:dyDescent="0.2"/>
  <cols>
    <col min="1" max="1" width="54" bestFit="1" customWidth="1"/>
    <col min="3" max="3" width="15.625" style="35"/>
    <col min="5" max="7" width="15.625" style="34"/>
    <col min="8" max="8" width="15.625" style="3"/>
  </cols>
  <sheetData>
    <row r="1" spans="1:8" x14ac:dyDescent="0.2">
      <c r="A1" t="s">
        <v>18</v>
      </c>
      <c r="B1" t="s">
        <v>49</v>
      </c>
      <c r="C1" s="35" t="s">
        <v>54</v>
      </c>
      <c r="D1" t="s">
        <v>1</v>
      </c>
      <c r="E1" s="34" t="s">
        <v>50</v>
      </c>
      <c r="F1" s="34" t="s">
        <v>51</v>
      </c>
      <c r="G1" s="34" t="s">
        <v>67</v>
      </c>
      <c r="H1" s="3" t="s">
        <v>57</v>
      </c>
    </row>
    <row r="2" spans="1:8" x14ac:dyDescent="0.2">
      <c r="A2" t="s">
        <v>52</v>
      </c>
      <c r="B2" t="str">
        <f>RIGHT(A2,5)</f>
        <v>63376</v>
      </c>
      <c r="C2" s="35" t="s">
        <v>56</v>
      </c>
      <c r="D2" s="12">
        <v>44431</v>
      </c>
      <c r="E2" s="34">
        <v>389000</v>
      </c>
      <c r="F2" s="34">
        <v>430000</v>
      </c>
      <c r="G2" s="34">
        <v>293250</v>
      </c>
      <c r="H2" s="3">
        <f>IFERROR((F2-E2)/E2,"")</f>
        <v>0.10539845758354756</v>
      </c>
    </row>
    <row r="3" spans="1:8" x14ac:dyDescent="0.2">
      <c r="A3" t="s">
        <v>53</v>
      </c>
      <c r="B3" t="str">
        <f t="shared" ref="B3:B24" si="0">RIGHT(A3,5)</f>
        <v>63376</v>
      </c>
      <c r="C3" s="35" t="s">
        <v>55</v>
      </c>
      <c r="D3" s="12">
        <v>44418</v>
      </c>
      <c r="E3" s="34">
        <v>295000</v>
      </c>
      <c r="F3" s="34">
        <v>295400</v>
      </c>
      <c r="G3" s="34">
        <v>211000</v>
      </c>
      <c r="H3" s="3">
        <f t="shared" ref="H3:H15" si="1">IFERROR((F3-E3)/E3,"")</f>
        <v>1.3559322033898306E-3</v>
      </c>
    </row>
    <row r="4" spans="1:8" x14ac:dyDescent="0.2">
      <c r="A4" s="16" t="s">
        <v>58</v>
      </c>
      <c r="B4" t="str">
        <f t="shared" si="0"/>
        <v>63303</v>
      </c>
      <c r="C4" s="35" t="s">
        <v>13</v>
      </c>
      <c r="E4" s="34">
        <v>350000</v>
      </c>
      <c r="G4" s="34">
        <v>277000</v>
      </c>
      <c r="H4" s="3">
        <f t="shared" si="1"/>
        <v>-1</v>
      </c>
    </row>
    <row r="5" spans="1:8" x14ac:dyDescent="0.2">
      <c r="A5" t="s">
        <v>59</v>
      </c>
      <c r="B5" t="str">
        <f t="shared" si="0"/>
        <v>63301</v>
      </c>
      <c r="C5" s="35" t="s">
        <v>13</v>
      </c>
      <c r="D5" s="12">
        <v>44418</v>
      </c>
      <c r="E5" s="34">
        <v>274000</v>
      </c>
      <c r="F5" s="34">
        <v>287000</v>
      </c>
      <c r="G5" s="34">
        <v>220786</v>
      </c>
      <c r="H5" s="3">
        <f t="shared" si="1"/>
        <v>4.7445255474452552E-2</v>
      </c>
    </row>
    <row r="6" spans="1:8" x14ac:dyDescent="0.2">
      <c r="A6" t="s">
        <v>60</v>
      </c>
      <c r="B6" t="str">
        <f t="shared" si="0"/>
        <v>63301</v>
      </c>
      <c r="C6" s="35" t="s">
        <v>13</v>
      </c>
      <c r="D6" s="12">
        <v>44435</v>
      </c>
      <c r="E6" s="34">
        <v>264900</v>
      </c>
      <c r="G6" s="34">
        <v>217135</v>
      </c>
      <c r="H6" s="3">
        <f t="shared" ref="H6" si="2">IFERROR((F6-E6)/E6,"")</f>
        <v>-1</v>
      </c>
    </row>
    <row r="7" spans="1:8" x14ac:dyDescent="0.2">
      <c r="A7" t="s">
        <v>61</v>
      </c>
      <c r="B7" t="str">
        <f t="shared" si="0"/>
        <v>63304</v>
      </c>
      <c r="C7" s="35" t="s">
        <v>56</v>
      </c>
      <c r="D7" s="12">
        <v>44414</v>
      </c>
      <c r="E7" s="34">
        <v>295500</v>
      </c>
      <c r="F7" s="34">
        <v>315000</v>
      </c>
      <c r="G7" s="34">
        <v>246824</v>
      </c>
      <c r="H7" s="3">
        <f t="shared" si="1"/>
        <v>6.5989847715736044E-2</v>
      </c>
    </row>
    <row r="8" spans="1:8" x14ac:dyDescent="0.2">
      <c r="A8" t="s">
        <v>62</v>
      </c>
      <c r="B8" t="str">
        <f t="shared" si="0"/>
        <v>63376</v>
      </c>
      <c r="C8" s="35" t="s">
        <v>56</v>
      </c>
      <c r="D8" s="12">
        <v>44411</v>
      </c>
      <c r="E8" s="34">
        <v>249900</v>
      </c>
      <c r="F8" s="34">
        <v>265000</v>
      </c>
      <c r="G8" s="34">
        <v>225943</v>
      </c>
      <c r="H8" s="3">
        <f t="shared" si="1"/>
        <v>6.042416966786715E-2</v>
      </c>
    </row>
    <row r="9" spans="1:8" x14ac:dyDescent="0.2">
      <c r="A9" t="s">
        <v>63</v>
      </c>
      <c r="B9" t="str">
        <f t="shared" si="0"/>
        <v>63376</v>
      </c>
      <c r="C9" s="35" t="s">
        <v>56</v>
      </c>
      <c r="D9" s="12">
        <v>44421</v>
      </c>
      <c r="E9" s="34">
        <v>339900</v>
      </c>
      <c r="F9" s="34">
        <v>350000</v>
      </c>
      <c r="G9" s="34">
        <v>290734</v>
      </c>
      <c r="H9" s="3">
        <f t="shared" si="1"/>
        <v>2.9714621947631657E-2</v>
      </c>
    </row>
    <row r="10" spans="1:8" x14ac:dyDescent="0.2">
      <c r="A10" t="s">
        <v>64</v>
      </c>
      <c r="B10" t="str">
        <f t="shared" si="0"/>
        <v>63304</v>
      </c>
      <c r="C10" s="35">
        <v>63304</v>
      </c>
      <c r="D10" s="12">
        <v>44412</v>
      </c>
      <c r="E10" s="34">
        <v>269900</v>
      </c>
      <c r="F10" s="34">
        <v>300000</v>
      </c>
      <c r="G10" s="34">
        <v>233757</v>
      </c>
      <c r="H10" s="3">
        <f t="shared" si="1"/>
        <v>0.11152278621711745</v>
      </c>
    </row>
    <row r="11" spans="1:8" x14ac:dyDescent="0.2">
      <c r="A11" s="16" t="s">
        <v>65</v>
      </c>
      <c r="B11" t="str">
        <f t="shared" si="0"/>
        <v>63376</v>
      </c>
      <c r="C11" s="35" t="s">
        <v>56</v>
      </c>
      <c r="D11" s="12">
        <v>44410</v>
      </c>
      <c r="E11" s="34">
        <v>325000</v>
      </c>
      <c r="F11" s="34">
        <v>340000</v>
      </c>
      <c r="G11" s="34">
        <v>301736</v>
      </c>
      <c r="H11" s="3">
        <f t="shared" si="1"/>
        <v>4.6153846153846156E-2</v>
      </c>
    </row>
    <row r="12" spans="1:8" x14ac:dyDescent="0.2">
      <c r="A12" t="s">
        <v>66</v>
      </c>
      <c r="B12" t="str">
        <f t="shared" si="0"/>
        <v>63303</v>
      </c>
      <c r="C12" s="35" t="s">
        <v>13</v>
      </c>
      <c r="D12" s="12">
        <v>44426</v>
      </c>
      <c r="E12" s="34">
        <v>349000</v>
      </c>
      <c r="F12" s="34">
        <v>360000</v>
      </c>
      <c r="G12" s="34">
        <v>342213</v>
      </c>
      <c r="H12" s="3">
        <f t="shared" si="1"/>
        <v>3.151862464183381E-2</v>
      </c>
    </row>
    <row r="13" spans="1:8" x14ac:dyDescent="0.2">
      <c r="A13" t="s">
        <v>68</v>
      </c>
      <c r="B13" t="str">
        <f t="shared" si="0"/>
        <v>63301</v>
      </c>
      <c r="C13" s="35" t="s">
        <v>13</v>
      </c>
      <c r="D13" s="12">
        <v>44420</v>
      </c>
      <c r="E13" s="34">
        <v>339000</v>
      </c>
      <c r="F13" s="34">
        <v>350000</v>
      </c>
      <c r="G13" s="34">
        <v>285000</v>
      </c>
      <c r="H13" s="3">
        <f t="shared" si="1"/>
        <v>3.2448377581120944E-2</v>
      </c>
    </row>
    <row r="14" spans="1:8" x14ac:dyDescent="0.2">
      <c r="A14" t="s">
        <v>69</v>
      </c>
      <c r="B14" t="str">
        <f t="shared" si="0"/>
        <v>63301</v>
      </c>
      <c r="C14" s="35" t="s">
        <v>13</v>
      </c>
      <c r="D14" s="12">
        <v>44420</v>
      </c>
      <c r="E14" s="34">
        <v>290000</v>
      </c>
      <c r="F14" s="34">
        <v>305000</v>
      </c>
      <c r="G14" s="34">
        <v>259707</v>
      </c>
      <c r="H14" s="3">
        <f t="shared" si="1"/>
        <v>5.1724137931034482E-2</v>
      </c>
    </row>
    <row r="15" spans="1:8" x14ac:dyDescent="0.2">
      <c r="B15" t="str">
        <f t="shared" si="0"/>
        <v/>
      </c>
      <c r="H15" s="3" t="str">
        <f t="shared" si="1"/>
        <v/>
      </c>
    </row>
    <row r="16" spans="1:8" x14ac:dyDescent="0.2">
      <c r="B16" t="str">
        <f t="shared" si="0"/>
        <v/>
      </c>
    </row>
    <row r="17" spans="2:2" x14ac:dyDescent="0.2">
      <c r="B17" t="str">
        <f t="shared" si="0"/>
        <v/>
      </c>
    </row>
    <row r="18" spans="2:2" x14ac:dyDescent="0.2">
      <c r="B18" t="str">
        <f t="shared" si="0"/>
        <v/>
      </c>
    </row>
    <row r="19" spans="2:2" x14ac:dyDescent="0.2">
      <c r="B19" t="str">
        <f t="shared" si="0"/>
        <v/>
      </c>
    </row>
    <row r="20" spans="2:2" x14ac:dyDescent="0.2">
      <c r="B20" t="str">
        <f t="shared" si="0"/>
        <v/>
      </c>
    </row>
    <row r="21" spans="2:2" x14ac:dyDescent="0.2">
      <c r="B21" t="str">
        <f t="shared" si="0"/>
        <v/>
      </c>
    </row>
    <row r="22" spans="2:2" x14ac:dyDescent="0.2">
      <c r="B22" t="str">
        <f t="shared" si="0"/>
        <v/>
      </c>
    </row>
    <row r="23" spans="2:2" x14ac:dyDescent="0.2">
      <c r="B23" t="str">
        <f t="shared" si="0"/>
        <v/>
      </c>
    </row>
    <row r="24" spans="2:2" x14ac:dyDescent="0.2">
      <c r="B24" t="str">
        <f t="shared" si="0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AD033-04B6-496A-A826-22F6A4ADC492}">
  <dimension ref="A1:R193"/>
  <sheetViews>
    <sheetView workbookViewId="0">
      <selection activeCell="C14" sqref="C14"/>
    </sheetView>
  </sheetViews>
  <sheetFormatPr defaultRowHeight="14.25" x14ac:dyDescent="0.2"/>
  <cols>
    <col min="1" max="1" width="15.25" bestFit="1" customWidth="1"/>
    <col min="2" max="2" width="33.25" bestFit="1" customWidth="1"/>
    <col min="3" max="3" width="9.75" bestFit="1" customWidth="1"/>
    <col min="4" max="4" width="15.25" bestFit="1" customWidth="1"/>
    <col min="5" max="5" width="10.375" bestFit="1" customWidth="1"/>
    <col min="6" max="6" width="14.75" bestFit="1" customWidth="1"/>
    <col min="7" max="7" width="12" bestFit="1" customWidth="1"/>
    <col min="8" max="8" width="11.375" bestFit="1" customWidth="1"/>
    <col min="9" max="9" width="22.75" style="37" customWidth="1"/>
    <col min="10" max="10" width="16.875" bestFit="1" customWidth="1"/>
    <col min="11" max="11" width="20.875" bestFit="1" customWidth="1"/>
    <col min="12" max="12" width="10.125" bestFit="1" customWidth="1"/>
    <col min="13" max="13" width="15.25" bestFit="1" customWidth="1"/>
    <col min="14" max="14" width="11.5" bestFit="1" customWidth="1"/>
  </cols>
  <sheetData>
    <row r="1" spans="1:18" ht="34.9" customHeight="1" x14ac:dyDescent="0.2">
      <c r="A1" s="18" t="s">
        <v>163</v>
      </c>
      <c r="B1" s="18" t="s">
        <v>0</v>
      </c>
      <c r="C1" s="18" t="s">
        <v>164</v>
      </c>
      <c r="D1" s="18" t="s">
        <v>165</v>
      </c>
      <c r="E1" s="18" t="s">
        <v>166</v>
      </c>
      <c r="F1" s="18" t="s">
        <v>167</v>
      </c>
      <c r="G1" s="18" t="s">
        <v>168</v>
      </c>
      <c r="H1" s="18" t="s">
        <v>169</v>
      </c>
      <c r="I1" s="36" t="s">
        <v>273</v>
      </c>
      <c r="J1" s="18" t="s">
        <v>170</v>
      </c>
      <c r="K1" s="18" t="s">
        <v>171</v>
      </c>
      <c r="L1" s="18" t="s">
        <v>172</v>
      </c>
      <c r="M1" s="18" t="s">
        <v>173</v>
      </c>
      <c r="N1" s="18" t="s">
        <v>174</v>
      </c>
      <c r="O1" s="18" t="s">
        <v>259</v>
      </c>
      <c r="P1" s="18" t="s">
        <v>260</v>
      </c>
      <c r="Q1" s="18" t="s">
        <v>261</v>
      </c>
      <c r="R1" s="18" t="s">
        <v>262</v>
      </c>
    </row>
    <row r="2" spans="1:18" x14ac:dyDescent="0.2">
      <c r="A2" t="s">
        <v>70</v>
      </c>
      <c r="B2" t="s">
        <v>175</v>
      </c>
      <c r="C2">
        <v>63040</v>
      </c>
      <c r="D2" s="1">
        <v>44056</v>
      </c>
      <c r="E2" s="10">
        <v>299000</v>
      </c>
      <c r="F2" s="11">
        <v>150.1</v>
      </c>
      <c r="G2" t="s">
        <v>71</v>
      </c>
      <c r="H2">
        <v>9.8299999999999998E-2</v>
      </c>
      <c r="I2" s="37">
        <v>2</v>
      </c>
      <c r="J2" t="s">
        <v>72</v>
      </c>
      <c r="K2" t="s">
        <v>73</v>
      </c>
      <c r="L2">
        <v>2013</v>
      </c>
      <c r="M2" s="13">
        <v>1992</v>
      </c>
      <c r="N2" t="s">
        <v>74</v>
      </c>
      <c r="O2">
        <v>3</v>
      </c>
      <c r="P2">
        <v>6</v>
      </c>
      <c r="Q2">
        <v>2</v>
      </c>
      <c r="R2">
        <v>1</v>
      </c>
    </row>
    <row r="3" spans="1:18" x14ac:dyDescent="0.2">
      <c r="A3" t="s">
        <v>75</v>
      </c>
      <c r="B3" t="s">
        <v>176</v>
      </c>
      <c r="C3">
        <v>63040</v>
      </c>
      <c r="D3" s="1">
        <v>43283</v>
      </c>
      <c r="E3" s="10">
        <v>252500</v>
      </c>
      <c r="F3" s="11">
        <v>144.12</v>
      </c>
      <c r="G3" t="s">
        <v>71</v>
      </c>
      <c r="H3">
        <v>9.8799999999999999E-2</v>
      </c>
      <c r="I3" s="37">
        <v>2</v>
      </c>
      <c r="J3" t="s">
        <v>72</v>
      </c>
      <c r="K3" t="s">
        <v>73</v>
      </c>
      <c r="L3">
        <v>2013</v>
      </c>
      <c r="M3" s="13">
        <v>1752</v>
      </c>
      <c r="N3" t="s">
        <v>74</v>
      </c>
      <c r="O3">
        <v>3</v>
      </c>
      <c r="P3">
        <v>6</v>
      </c>
      <c r="Q3">
        <v>2</v>
      </c>
      <c r="R3">
        <v>0</v>
      </c>
    </row>
    <row r="4" spans="1:18" x14ac:dyDescent="0.2">
      <c r="A4" t="s">
        <v>76</v>
      </c>
      <c r="B4" t="s">
        <v>177</v>
      </c>
      <c r="C4">
        <v>63040</v>
      </c>
      <c r="D4" s="1">
        <v>43654</v>
      </c>
      <c r="E4" s="10">
        <v>300000</v>
      </c>
      <c r="F4" s="11">
        <v>151.82</v>
      </c>
      <c r="G4">
        <v>2</v>
      </c>
      <c r="H4">
        <v>8.9399999999999993E-2</v>
      </c>
      <c r="I4" s="37">
        <v>2</v>
      </c>
      <c r="J4" t="s">
        <v>72</v>
      </c>
      <c r="K4" t="s">
        <v>73</v>
      </c>
      <c r="L4">
        <v>2013</v>
      </c>
      <c r="M4" s="13">
        <v>1976</v>
      </c>
      <c r="N4" t="s">
        <v>74</v>
      </c>
      <c r="O4">
        <v>3</v>
      </c>
      <c r="P4">
        <v>6</v>
      </c>
      <c r="Q4">
        <v>2</v>
      </c>
      <c r="R4">
        <v>1</v>
      </c>
    </row>
    <row r="5" spans="1:18" x14ac:dyDescent="0.2">
      <c r="A5" t="s">
        <v>77</v>
      </c>
      <c r="B5" t="s">
        <v>178</v>
      </c>
      <c r="C5">
        <v>63040</v>
      </c>
      <c r="D5" s="1">
        <v>43724</v>
      </c>
      <c r="E5" s="10">
        <v>287500</v>
      </c>
      <c r="F5" s="11">
        <v>163.72</v>
      </c>
      <c r="G5" t="s">
        <v>71</v>
      </c>
      <c r="H5">
        <v>9.5799999999999996E-2</v>
      </c>
      <c r="I5" s="37">
        <v>2</v>
      </c>
      <c r="J5" t="s">
        <v>72</v>
      </c>
      <c r="K5" t="s">
        <v>73</v>
      </c>
      <c r="L5">
        <v>2013</v>
      </c>
      <c r="M5" s="13">
        <v>1756</v>
      </c>
      <c r="N5" t="s">
        <v>74</v>
      </c>
      <c r="O5">
        <v>3</v>
      </c>
      <c r="P5">
        <v>6</v>
      </c>
      <c r="Q5">
        <v>2</v>
      </c>
      <c r="R5">
        <v>0</v>
      </c>
    </row>
    <row r="6" spans="1:18" x14ac:dyDescent="0.2">
      <c r="A6" t="s">
        <v>78</v>
      </c>
      <c r="B6" t="s">
        <v>179</v>
      </c>
      <c r="C6">
        <v>63040</v>
      </c>
      <c r="D6" s="1">
        <v>44007</v>
      </c>
      <c r="E6" s="10">
        <v>278000</v>
      </c>
      <c r="F6" s="11">
        <v>175.28</v>
      </c>
      <c r="G6" t="s">
        <v>71</v>
      </c>
      <c r="H6">
        <v>9.0300000000000005E-2</v>
      </c>
      <c r="I6" s="37">
        <v>2</v>
      </c>
      <c r="J6" t="s">
        <v>72</v>
      </c>
      <c r="K6" t="s">
        <v>73</v>
      </c>
      <c r="L6">
        <v>2013</v>
      </c>
      <c r="M6" s="13">
        <v>1586</v>
      </c>
      <c r="N6" t="s">
        <v>74</v>
      </c>
      <c r="O6">
        <v>3</v>
      </c>
      <c r="P6">
        <v>6</v>
      </c>
      <c r="Q6">
        <v>2</v>
      </c>
      <c r="R6">
        <v>0</v>
      </c>
    </row>
    <row r="7" spans="1:18" x14ac:dyDescent="0.2">
      <c r="A7" t="s">
        <v>76</v>
      </c>
      <c r="B7" t="s">
        <v>177</v>
      </c>
      <c r="C7">
        <v>63040</v>
      </c>
      <c r="D7" s="1">
        <v>44046</v>
      </c>
      <c r="E7" s="10">
        <v>299900</v>
      </c>
      <c r="F7" s="11">
        <v>151.77000000000001</v>
      </c>
      <c r="G7" t="s">
        <v>71</v>
      </c>
      <c r="H7">
        <v>8.9399999999999993E-2</v>
      </c>
      <c r="I7" s="37">
        <v>2</v>
      </c>
      <c r="J7" t="s">
        <v>72</v>
      </c>
      <c r="K7" t="s">
        <v>73</v>
      </c>
      <c r="L7">
        <v>2013</v>
      </c>
      <c r="M7" s="13">
        <v>1976</v>
      </c>
      <c r="N7" t="s">
        <v>74</v>
      </c>
      <c r="O7">
        <v>3</v>
      </c>
      <c r="P7">
        <v>6</v>
      </c>
      <c r="Q7">
        <v>2</v>
      </c>
      <c r="R7">
        <v>1</v>
      </c>
    </row>
    <row r="8" spans="1:18" x14ac:dyDescent="0.2">
      <c r="A8" t="s">
        <v>79</v>
      </c>
      <c r="B8" t="s">
        <v>180</v>
      </c>
      <c r="C8">
        <v>63040</v>
      </c>
      <c r="D8" s="1">
        <v>44067</v>
      </c>
      <c r="E8" s="10">
        <v>310000</v>
      </c>
      <c r="F8" s="11">
        <v>155.46</v>
      </c>
      <c r="G8" t="s">
        <v>71</v>
      </c>
      <c r="H8">
        <v>9.7600000000000006E-2</v>
      </c>
      <c r="I8" s="37">
        <v>2</v>
      </c>
      <c r="J8" t="s">
        <v>72</v>
      </c>
      <c r="K8" t="s">
        <v>73</v>
      </c>
      <c r="L8">
        <v>2013</v>
      </c>
      <c r="M8" s="13">
        <v>1994</v>
      </c>
      <c r="N8" t="s">
        <v>74</v>
      </c>
      <c r="O8">
        <v>3</v>
      </c>
      <c r="P8">
        <v>6</v>
      </c>
      <c r="Q8">
        <v>2</v>
      </c>
      <c r="R8">
        <v>1</v>
      </c>
    </row>
    <row r="9" spans="1:18" x14ac:dyDescent="0.2">
      <c r="A9" t="s">
        <v>80</v>
      </c>
      <c r="B9" t="s">
        <v>181</v>
      </c>
      <c r="C9">
        <v>63040</v>
      </c>
      <c r="D9" s="1">
        <v>44074</v>
      </c>
      <c r="E9" s="10">
        <v>332500</v>
      </c>
      <c r="F9" s="11">
        <v>166.75</v>
      </c>
      <c r="G9" t="s">
        <v>71</v>
      </c>
      <c r="H9">
        <v>9.7799999999999998E-2</v>
      </c>
      <c r="I9" s="37">
        <v>2</v>
      </c>
      <c r="J9" t="s">
        <v>72</v>
      </c>
      <c r="K9" t="s">
        <v>73</v>
      </c>
      <c r="L9">
        <v>2013</v>
      </c>
      <c r="M9" s="13">
        <v>1994</v>
      </c>
      <c r="N9" t="s">
        <v>74</v>
      </c>
      <c r="O9">
        <v>3</v>
      </c>
      <c r="P9">
        <v>6</v>
      </c>
      <c r="Q9">
        <v>2</v>
      </c>
      <c r="R9">
        <v>1</v>
      </c>
    </row>
    <row r="10" spans="1:18" x14ac:dyDescent="0.2">
      <c r="A10" t="s">
        <v>81</v>
      </c>
      <c r="B10" t="s">
        <v>182</v>
      </c>
      <c r="C10">
        <v>63040</v>
      </c>
      <c r="D10" s="1">
        <v>43613</v>
      </c>
      <c r="E10" s="10">
        <v>313500</v>
      </c>
      <c r="F10" s="11">
        <v>131.06</v>
      </c>
      <c r="G10" t="s">
        <v>71</v>
      </c>
      <c r="H10">
        <v>7.6899999999999996E-2</v>
      </c>
      <c r="I10" s="37">
        <v>2</v>
      </c>
      <c r="J10" t="s">
        <v>72</v>
      </c>
      <c r="K10" t="s">
        <v>73</v>
      </c>
      <c r="L10">
        <v>2013</v>
      </c>
      <c r="M10" s="13">
        <v>2392</v>
      </c>
      <c r="N10" t="s">
        <v>74</v>
      </c>
      <c r="O10">
        <v>3</v>
      </c>
      <c r="P10">
        <v>7</v>
      </c>
      <c r="Q10">
        <v>2</v>
      </c>
      <c r="R10">
        <v>1</v>
      </c>
    </row>
    <row r="11" spans="1:18" x14ac:dyDescent="0.2">
      <c r="A11" t="s">
        <v>82</v>
      </c>
      <c r="B11" t="s">
        <v>183</v>
      </c>
      <c r="C11">
        <v>63040</v>
      </c>
      <c r="D11" s="1">
        <v>43648</v>
      </c>
      <c r="E11" s="10">
        <v>314000</v>
      </c>
      <c r="F11" s="11">
        <v>157.63</v>
      </c>
      <c r="G11" t="s">
        <v>71</v>
      </c>
      <c r="H11">
        <v>8.9399999999999993E-2</v>
      </c>
      <c r="I11" s="37">
        <v>2</v>
      </c>
      <c r="J11" t="s">
        <v>72</v>
      </c>
      <c r="K11" t="s">
        <v>73</v>
      </c>
      <c r="L11">
        <v>2013</v>
      </c>
      <c r="M11" s="13">
        <v>1992</v>
      </c>
      <c r="N11" t="s">
        <v>74</v>
      </c>
      <c r="O11">
        <v>3</v>
      </c>
      <c r="P11">
        <v>6</v>
      </c>
      <c r="Q11">
        <v>2</v>
      </c>
      <c r="R11">
        <v>1</v>
      </c>
    </row>
    <row r="12" spans="1:18" x14ac:dyDescent="0.2">
      <c r="A12" t="s">
        <v>83</v>
      </c>
      <c r="B12" t="s">
        <v>184</v>
      </c>
      <c r="C12">
        <v>63040</v>
      </c>
      <c r="D12" s="1">
        <v>44097</v>
      </c>
      <c r="E12" s="10">
        <v>325000</v>
      </c>
      <c r="F12" s="11">
        <v>134.07</v>
      </c>
      <c r="G12" t="s">
        <v>71</v>
      </c>
      <c r="H12">
        <v>0.112</v>
      </c>
      <c r="I12" s="37">
        <v>2</v>
      </c>
      <c r="J12" t="s">
        <v>72</v>
      </c>
      <c r="K12" t="s">
        <v>73</v>
      </c>
      <c r="L12">
        <v>2008</v>
      </c>
      <c r="M12" s="13">
        <v>2424</v>
      </c>
      <c r="N12" t="s">
        <v>74</v>
      </c>
      <c r="O12">
        <v>3</v>
      </c>
      <c r="P12">
        <v>8</v>
      </c>
      <c r="Q12">
        <v>2</v>
      </c>
      <c r="R12">
        <v>1</v>
      </c>
    </row>
    <row r="13" spans="1:18" x14ac:dyDescent="0.2">
      <c r="A13" t="s">
        <v>84</v>
      </c>
      <c r="B13" t="s">
        <v>185</v>
      </c>
      <c r="C13">
        <v>63040</v>
      </c>
      <c r="D13" s="1">
        <v>43266</v>
      </c>
      <c r="E13" s="10">
        <v>315000</v>
      </c>
      <c r="F13" s="11">
        <v>157.02000000000001</v>
      </c>
      <c r="G13" t="s">
        <v>71</v>
      </c>
      <c r="H13">
        <v>9.0499999999999997E-2</v>
      </c>
      <c r="I13" s="37">
        <v>2</v>
      </c>
      <c r="J13" t="s">
        <v>72</v>
      </c>
      <c r="K13" t="s">
        <v>73</v>
      </c>
      <c r="L13">
        <v>2013</v>
      </c>
      <c r="M13" s="13">
        <v>2006</v>
      </c>
      <c r="N13" t="s">
        <v>74</v>
      </c>
      <c r="O13">
        <v>3</v>
      </c>
      <c r="P13">
        <v>7</v>
      </c>
      <c r="Q13">
        <v>3</v>
      </c>
      <c r="R13">
        <v>0</v>
      </c>
    </row>
    <row r="14" spans="1:18" x14ac:dyDescent="0.2">
      <c r="A14" t="s">
        <v>85</v>
      </c>
      <c r="B14" t="s">
        <v>186</v>
      </c>
      <c r="C14">
        <v>63040</v>
      </c>
      <c r="D14" s="1">
        <v>43343</v>
      </c>
      <c r="E14" s="10">
        <v>179900</v>
      </c>
      <c r="F14" s="11">
        <v>163.99</v>
      </c>
      <c r="G14" t="s">
        <v>71</v>
      </c>
      <c r="H14">
        <v>9.9199999999999997E-2</v>
      </c>
      <c r="I14" s="37">
        <v>1</v>
      </c>
      <c r="J14" t="s">
        <v>86</v>
      </c>
      <c r="K14" t="s">
        <v>73</v>
      </c>
      <c r="L14">
        <v>1988</v>
      </c>
      <c r="M14" s="13">
        <v>1097</v>
      </c>
      <c r="N14" t="s">
        <v>74</v>
      </c>
      <c r="O14">
        <v>2</v>
      </c>
      <c r="P14">
        <v>5</v>
      </c>
      <c r="Q14">
        <v>2</v>
      </c>
      <c r="R14">
        <v>0</v>
      </c>
    </row>
    <row r="15" spans="1:18" x14ac:dyDescent="0.2">
      <c r="A15" t="s">
        <v>87</v>
      </c>
      <c r="B15" t="s">
        <v>187</v>
      </c>
      <c r="C15">
        <v>63040</v>
      </c>
      <c r="D15" s="1">
        <v>43237</v>
      </c>
      <c r="E15" s="10">
        <v>146500</v>
      </c>
      <c r="F15" s="11">
        <v>125.64</v>
      </c>
      <c r="G15" t="s">
        <v>71</v>
      </c>
      <c r="H15">
        <v>5.67E-2</v>
      </c>
      <c r="I15" s="37">
        <v>2</v>
      </c>
      <c r="J15" t="s">
        <v>86</v>
      </c>
      <c r="K15" t="s">
        <v>73</v>
      </c>
      <c r="L15">
        <v>1994</v>
      </c>
      <c r="M15" s="13">
        <v>1166</v>
      </c>
      <c r="N15" t="s">
        <v>74</v>
      </c>
      <c r="O15">
        <v>2</v>
      </c>
      <c r="P15">
        <v>5</v>
      </c>
      <c r="Q15">
        <v>1</v>
      </c>
      <c r="R15">
        <v>1</v>
      </c>
    </row>
    <row r="16" spans="1:18" x14ac:dyDescent="0.2">
      <c r="A16" t="s">
        <v>88</v>
      </c>
      <c r="B16" t="s">
        <v>188</v>
      </c>
      <c r="C16">
        <v>63040</v>
      </c>
      <c r="D16" s="1">
        <v>43494</v>
      </c>
      <c r="E16" s="10">
        <v>190000</v>
      </c>
      <c r="F16" s="11">
        <v>162.94999999999999</v>
      </c>
      <c r="G16" t="s">
        <v>71</v>
      </c>
      <c r="H16">
        <v>6.2300000000000001E-2</v>
      </c>
      <c r="I16" s="37">
        <v>2</v>
      </c>
      <c r="J16" t="s">
        <v>86</v>
      </c>
      <c r="K16" t="s">
        <v>73</v>
      </c>
      <c r="L16">
        <v>1994</v>
      </c>
      <c r="M16" s="13">
        <v>1166</v>
      </c>
      <c r="N16" t="s">
        <v>74</v>
      </c>
      <c r="O16">
        <v>2</v>
      </c>
      <c r="P16">
        <v>6</v>
      </c>
      <c r="Q16">
        <v>2</v>
      </c>
      <c r="R16">
        <v>1</v>
      </c>
    </row>
    <row r="17" spans="1:18" x14ac:dyDescent="0.2">
      <c r="A17" t="s">
        <v>89</v>
      </c>
      <c r="B17" t="s">
        <v>189</v>
      </c>
      <c r="C17">
        <v>63040</v>
      </c>
      <c r="D17" s="1">
        <v>43938</v>
      </c>
      <c r="E17" s="10">
        <v>186000</v>
      </c>
      <c r="F17" s="11">
        <v>169.55</v>
      </c>
      <c r="G17" t="s">
        <v>71</v>
      </c>
      <c r="H17">
        <v>9.6000000000000002E-2</v>
      </c>
      <c r="I17" s="37">
        <v>1</v>
      </c>
      <c r="J17" t="s">
        <v>86</v>
      </c>
      <c r="K17" t="s">
        <v>73</v>
      </c>
      <c r="L17">
        <v>1989</v>
      </c>
      <c r="M17" s="13">
        <v>1097</v>
      </c>
      <c r="N17" t="s">
        <v>74</v>
      </c>
      <c r="O17">
        <v>2</v>
      </c>
      <c r="P17">
        <v>5</v>
      </c>
      <c r="Q17">
        <v>2</v>
      </c>
      <c r="R17">
        <v>0</v>
      </c>
    </row>
    <row r="18" spans="1:18" x14ac:dyDescent="0.2">
      <c r="A18" t="s">
        <v>90</v>
      </c>
      <c r="B18" t="s">
        <v>190</v>
      </c>
      <c r="C18">
        <v>63040</v>
      </c>
      <c r="D18" s="1">
        <v>43325</v>
      </c>
      <c r="E18" s="10">
        <v>199900</v>
      </c>
      <c r="F18" s="11">
        <v>162.25</v>
      </c>
      <c r="G18" t="s">
        <v>71</v>
      </c>
      <c r="H18">
        <v>5.5399999999999998E-2</v>
      </c>
      <c r="I18" s="37">
        <v>2</v>
      </c>
      <c r="J18" t="s">
        <v>86</v>
      </c>
      <c r="K18" t="s">
        <v>73</v>
      </c>
      <c r="L18">
        <v>1987</v>
      </c>
      <c r="M18" s="13">
        <v>1232</v>
      </c>
      <c r="N18" t="s">
        <v>74</v>
      </c>
      <c r="O18">
        <v>2</v>
      </c>
      <c r="P18">
        <v>5</v>
      </c>
      <c r="Q18">
        <v>2</v>
      </c>
      <c r="R18">
        <v>1</v>
      </c>
    </row>
    <row r="19" spans="1:18" x14ac:dyDescent="0.2">
      <c r="A19" t="s">
        <v>91</v>
      </c>
      <c r="B19" t="s">
        <v>191</v>
      </c>
      <c r="C19">
        <v>63040</v>
      </c>
      <c r="D19" s="1">
        <v>43605</v>
      </c>
      <c r="E19" s="10">
        <v>190000</v>
      </c>
      <c r="F19" s="11">
        <v>166.95</v>
      </c>
      <c r="G19" t="s">
        <v>71</v>
      </c>
      <c r="H19">
        <v>7.3700000000000002E-2</v>
      </c>
      <c r="I19" s="37">
        <v>2</v>
      </c>
      <c r="J19" t="s">
        <v>86</v>
      </c>
      <c r="K19" t="s">
        <v>73</v>
      </c>
      <c r="L19">
        <v>1994</v>
      </c>
      <c r="M19" s="13">
        <v>1138</v>
      </c>
      <c r="N19" t="s">
        <v>74</v>
      </c>
      <c r="O19">
        <v>2</v>
      </c>
      <c r="P19">
        <v>5</v>
      </c>
      <c r="Q19">
        <v>2</v>
      </c>
      <c r="R19">
        <v>0</v>
      </c>
    </row>
    <row r="20" spans="1:18" x14ac:dyDescent="0.2">
      <c r="A20" t="s">
        <v>92</v>
      </c>
      <c r="B20" t="s">
        <v>192</v>
      </c>
      <c r="C20">
        <v>63040</v>
      </c>
      <c r="D20" s="1">
        <v>43308</v>
      </c>
      <c r="E20" s="10">
        <v>166000</v>
      </c>
      <c r="F20" s="11">
        <v>153.69999999999999</v>
      </c>
      <c r="G20" t="s">
        <v>71</v>
      </c>
      <c r="H20">
        <v>7.5800000000000006E-2</v>
      </c>
      <c r="I20" s="37">
        <v>2</v>
      </c>
      <c r="J20" t="s">
        <v>86</v>
      </c>
      <c r="K20" t="s">
        <v>73</v>
      </c>
      <c r="L20">
        <v>1993</v>
      </c>
      <c r="M20" s="13">
        <v>1080</v>
      </c>
      <c r="N20" t="s">
        <v>74</v>
      </c>
      <c r="O20">
        <v>2</v>
      </c>
      <c r="P20">
        <v>5</v>
      </c>
      <c r="Q20">
        <v>1</v>
      </c>
      <c r="R20">
        <v>1</v>
      </c>
    </row>
    <row r="21" spans="1:18" x14ac:dyDescent="0.2">
      <c r="A21" t="s">
        <v>93</v>
      </c>
      <c r="B21" t="s">
        <v>193</v>
      </c>
      <c r="C21">
        <v>63040</v>
      </c>
      <c r="D21" s="1">
        <v>43789</v>
      </c>
      <c r="E21" s="10">
        <v>200000</v>
      </c>
      <c r="F21" s="11">
        <v>160.25</v>
      </c>
      <c r="G21" t="s">
        <v>71</v>
      </c>
      <c r="H21">
        <v>4.41E-2</v>
      </c>
      <c r="I21" s="37">
        <v>2</v>
      </c>
      <c r="J21" t="s">
        <v>86</v>
      </c>
      <c r="K21" t="s">
        <v>73</v>
      </c>
      <c r="L21">
        <v>1987</v>
      </c>
      <c r="M21" s="13">
        <v>1248</v>
      </c>
      <c r="N21" t="s">
        <v>74</v>
      </c>
      <c r="O21">
        <v>2</v>
      </c>
      <c r="P21">
        <v>5</v>
      </c>
      <c r="Q21">
        <v>2</v>
      </c>
      <c r="R21">
        <v>1</v>
      </c>
    </row>
    <row r="22" spans="1:18" x14ac:dyDescent="0.2">
      <c r="A22" t="s">
        <v>94</v>
      </c>
      <c r="B22" t="s">
        <v>194</v>
      </c>
      <c r="C22">
        <v>63040</v>
      </c>
      <c r="D22" s="1">
        <v>43164</v>
      </c>
      <c r="E22" s="10">
        <v>178000</v>
      </c>
      <c r="F22" s="11">
        <v>146.38</v>
      </c>
      <c r="G22" t="s">
        <v>71</v>
      </c>
      <c r="H22">
        <v>9.9400000000000002E-2</v>
      </c>
      <c r="I22" s="37">
        <v>2</v>
      </c>
      <c r="J22" t="s">
        <v>86</v>
      </c>
      <c r="K22" t="s">
        <v>73</v>
      </c>
      <c r="L22">
        <v>1996</v>
      </c>
      <c r="M22" s="13">
        <v>1216</v>
      </c>
      <c r="N22" t="s">
        <v>74</v>
      </c>
      <c r="O22">
        <v>2</v>
      </c>
      <c r="P22">
        <v>6</v>
      </c>
      <c r="Q22">
        <v>2</v>
      </c>
      <c r="R22">
        <v>0</v>
      </c>
    </row>
    <row r="23" spans="1:18" x14ac:dyDescent="0.2">
      <c r="A23" t="s">
        <v>95</v>
      </c>
      <c r="B23" t="s">
        <v>195</v>
      </c>
      <c r="C23">
        <v>63040</v>
      </c>
      <c r="D23" s="1">
        <v>43200</v>
      </c>
      <c r="E23" s="10">
        <v>165100</v>
      </c>
      <c r="F23" s="11">
        <v>132.29</v>
      </c>
      <c r="G23" t="s">
        <v>71</v>
      </c>
      <c r="H23">
        <v>4.41E-2</v>
      </c>
      <c r="I23" s="37">
        <v>2</v>
      </c>
      <c r="J23" t="s">
        <v>86</v>
      </c>
      <c r="K23" t="s">
        <v>73</v>
      </c>
      <c r="L23">
        <v>1987</v>
      </c>
      <c r="M23" s="13">
        <v>1248</v>
      </c>
      <c r="N23" t="s">
        <v>74</v>
      </c>
      <c r="O23">
        <v>2</v>
      </c>
      <c r="P23">
        <v>6</v>
      </c>
      <c r="Q23">
        <v>2</v>
      </c>
      <c r="R23">
        <v>1</v>
      </c>
    </row>
    <row r="24" spans="1:18" x14ac:dyDescent="0.2">
      <c r="A24" t="s">
        <v>96</v>
      </c>
      <c r="B24" t="s">
        <v>196</v>
      </c>
      <c r="C24">
        <v>63040</v>
      </c>
      <c r="D24" s="1">
        <v>43602</v>
      </c>
      <c r="E24" s="10">
        <v>199000</v>
      </c>
      <c r="F24" s="11">
        <v>161.52000000000001</v>
      </c>
      <c r="G24" t="s">
        <v>71</v>
      </c>
      <c r="H24">
        <v>5.5E-2</v>
      </c>
      <c r="I24" s="37">
        <v>2</v>
      </c>
      <c r="J24" t="s">
        <v>86</v>
      </c>
      <c r="K24" t="s">
        <v>73</v>
      </c>
      <c r="L24">
        <v>1986</v>
      </c>
      <c r="M24" s="13">
        <v>1232</v>
      </c>
      <c r="N24" t="s">
        <v>74</v>
      </c>
      <c r="O24">
        <v>2</v>
      </c>
      <c r="P24">
        <v>5</v>
      </c>
      <c r="Q24">
        <v>2</v>
      </c>
      <c r="R24">
        <v>1</v>
      </c>
    </row>
    <row r="25" spans="1:18" x14ac:dyDescent="0.2">
      <c r="A25" t="s">
        <v>97</v>
      </c>
      <c r="B25" t="s">
        <v>197</v>
      </c>
      <c r="C25">
        <v>63040</v>
      </c>
      <c r="D25" s="1">
        <v>43630</v>
      </c>
      <c r="E25" s="10">
        <v>183000</v>
      </c>
      <c r="F25" s="11">
        <v>148.53</v>
      </c>
      <c r="G25" t="s">
        <v>71</v>
      </c>
      <c r="H25">
        <v>5.5599999999999997E-2</v>
      </c>
      <c r="I25" s="37">
        <v>2</v>
      </c>
      <c r="J25" t="s">
        <v>86</v>
      </c>
      <c r="K25" t="s">
        <v>73</v>
      </c>
      <c r="L25">
        <v>1987</v>
      </c>
      <c r="M25" s="13">
        <v>1232</v>
      </c>
      <c r="N25" t="s">
        <v>74</v>
      </c>
      <c r="O25">
        <v>2</v>
      </c>
      <c r="P25">
        <v>5</v>
      </c>
      <c r="Q25">
        <v>2</v>
      </c>
      <c r="R25">
        <v>1</v>
      </c>
    </row>
    <row r="26" spans="1:18" x14ac:dyDescent="0.2">
      <c r="A26" t="s">
        <v>98</v>
      </c>
      <c r="B26" t="s">
        <v>198</v>
      </c>
      <c r="C26">
        <v>63040</v>
      </c>
      <c r="D26" s="1">
        <v>43819</v>
      </c>
      <c r="E26" s="10">
        <v>193000</v>
      </c>
      <c r="F26" s="11">
        <v>175.93</v>
      </c>
      <c r="G26" t="s">
        <v>71</v>
      </c>
      <c r="H26">
        <v>7.0900000000000005E-2</v>
      </c>
      <c r="I26" s="37">
        <v>1</v>
      </c>
      <c r="J26" t="s">
        <v>86</v>
      </c>
      <c r="K26" t="s">
        <v>73</v>
      </c>
      <c r="L26">
        <v>1987</v>
      </c>
      <c r="M26" s="13">
        <v>1097</v>
      </c>
      <c r="N26" t="s">
        <v>74</v>
      </c>
      <c r="O26">
        <v>2</v>
      </c>
      <c r="P26">
        <v>7</v>
      </c>
      <c r="Q26">
        <v>2</v>
      </c>
      <c r="R26">
        <v>1</v>
      </c>
    </row>
    <row r="27" spans="1:18" x14ac:dyDescent="0.2">
      <c r="A27" t="s">
        <v>99</v>
      </c>
      <c r="B27" t="s">
        <v>199</v>
      </c>
      <c r="C27">
        <v>63040</v>
      </c>
      <c r="D27" s="1">
        <v>44110</v>
      </c>
      <c r="E27" s="10">
        <v>185000</v>
      </c>
      <c r="F27" s="11">
        <v>150.16</v>
      </c>
      <c r="G27" t="s">
        <v>71</v>
      </c>
      <c r="H27">
        <v>5.4100000000000002E-2</v>
      </c>
      <c r="I27" s="37">
        <v>2</v>
      </c>
      <c r="J27" t="s">
        <v>86</v>
      </c>
      <c r="K27" t="s">
        <v>73</v>
      </c>
      <c r="L27">
        <v>1987</v>
      </c>
      <c r="M27" s="13">
        <v>1232</v>
      </c>
      <c r="N27" t="s">
        <v>74</v>
      </c>
      <c r="O27">
        <v>2</v>
      </c>
      <c r="P27">
        <v>5</v>
      </c>
      <c r="Q27">
        <v>2</v>
      </c>
      <c r="R27">
        <v>1</v>
      </c>
    </row>
    <row r="28" spans="1:18" x14ac:dyDescent="0.2">
      <c r="A28" t="s">
        <v>100</v>
      </c>
      <c r="B28" t="s">
        <v>200</v>
      </c>
      <c r="C28">
        <v>63040</v>
      </c>
      <c r="D28" s="1">
        <v>44230</v>
      </c>
      <c r="E28" s="10">
        <v>174900</v>
      </c>
      <c r="F28" s="11">
        <v>140.13999999999999</v>
      </c>
      <c r="G28" t="s">
        <v>71</v>
      </c>
      <c r="H28">
        <v>5.6099999999999997E-2</v>
      </c>
      <c r="I28" s="37">
        <v>2</v>
      </c>
      <c r="J28" t="s">
        <v>86</v>
      </c>
      <c r="K28" t="s">
        <v>73</v>
      </c>
      <c r="L28">
        <v>1987</v>
      </c>
      <c r="M28" s="13">
        <v>1248</v>
      </c>
      <c r="N28" t="s">
        <v>74</v>
      </c>
      <c r="O28">
        <v>2</v>
      </c>
      <c r="P28">
        <v>6</v>
      </c>
      <c r="Q28">
        <v>2</v>
      </c>
      <c r="R28">
        <v>1</v>
      </c>
    </row>
    <row r="29" spans="1:18" x14ac:dyDescent="0.2">
      <c r="A29" t="s">
        <v>101</v>
      </c>
      <c r="B29" t="s">
        <v>201</v>
      </c>
      <c r="C29">
        <v>63040</v>
      </c>
      <c r="D29" s="1">
        <v>43493</v>
      </c>
      <c r="E29" s="10">
        <v>179000</v>
      </c>
      <c r="F29" s="11">
        <v>132.59</v>
      </c>
      <c r="G29" t="s">
        <v>71</v>
      </c>
      <c r="H29">
        <v>6.3899999999999998E-2</v>
      </c>
      <c r="I29" s="37">
        <v>2</v>
      </c>
      <c r="J29" t="s">
        <v>86</v>
      </c>
      <c r="K29" t="s">
        <v>73</v>
      </c>
      <c r="L29">
        <v>1996</v>
      </c>
      <c r="M29" s="13">
        <v>1350</v>
      </c>
      <c r="N29" t="s">
        <v>74</v>
      </c>
      <c r="O29">
        <v>3</v>
      </c>
      <c r="P29">
        <v>6</v>
      </c>
      <c r="Q29">
        <v>2</v>
      </c>
      <c r="R29">
        <v>0</v>
      </c>
    </row>
    <row r="30" spans="1:18" x14ac:dyDescent="0.2">
      <c r="A30" t="s">
        <v>102</v>
      </c>
      <c r="B30" t="s">
        <v>202</v>
      </c>
      <c r="C30">
        <v>63040</v>
      </c>
      <c r="D30" s="1">
        <v>43837</v>
      </c>
      <c r="E30" s="10">
        <v>275000</v>
      </c>
      <c r="F30" s="11">
        <v>180.44</v>
      </c>
      <c r="G30" t="s">
        <v>71</v>
      </c>
      <c r="H30">
        <v>8.5400000000000004E-2</v>
      </c>
      <c r="I30" s="37">
        <v>2</v>
      </c>
      <c r="J30" t="s">
        <v>103</v>
      </c>
      <c r="K30" t="s">
        <v>73</v>
      </c>
      <c r="L30">
        <v>2016</v>
      </c>
      <c r="M30" s="13">
        <v>1524</v>
      </c>
      <c r="N30" t="s">
        <v>74</v>
      </c>
      <c r="O30">
        <v>2</v>
      </c>
      <c r="P30">
        <v>6</v>
      </c>
      <c r="Q30">
        <v>2</v>
      </c>
      <c r="R30">
        <v>1</v>
      </c>
    </row>
    <row r="31" spans="1:18" x14ac:dyDescent="0.2">
      <c r="A31" t="s">
        <v>104</v>
      </c>
      <c r="B31" t="s">
        <v>203</v>
      </c>
      <c r="C31">
        <v>63040</v>
      </c>
      <c r="D31" s="1">
        <v>43390</v>
      </c>
      <c r="E31" s="10">
        <v>267900</v>
      </c>
      <c r="F31" s="11">
        <v>175.78</v>
      </c>
      <c r="G31" t="s">
        <v>71</v>
      </c>
      <c r="H31">
        <v>7.0699999999999999E-2</v>
      </c>
      <c r="I31" s="37">
        <v>2</v>
      </c>
      <c r="J31" t="s">
        <v>103</v>
      </c>
      <c r="K31" t="s">
        <v>73</v>
      </c>
      <c r="L31">
        <v>2016</v>
      </c>
      <c r="M31" s="13">
        <v>1524</v>
      </c>
      <c r="N31" t="s">
        <v>74</v>
      </c>
      <c r="O31">
        <v>2</v>
      </c>
      <c r="P31">
        <v>6</v>
      </c>
      <c r="Q31">
        <v>2</v>
      </c>
      <c r="R31">
        <v>1</v>
      </c>
    </row>
    <row r="32" spans="1:18" x14ac:dyDescent="0.2">
      <c r="A32" t="s">
        <v>105</v>
      </c>
      <c r="B32" t="s">
        <v>204</v>
      </c>
      <c r="C32">
        <v>63040</v>
      </c>
      <c r="D32" s="1">
        <v>43236</v>
      </c>
      <c r="E32" s="10">
        <v>296000</v>
      </c>
      <c r="F32" s="11">
        <v>148.59</v>
      </c>
      <c r="G32" t="s">
        <v>71</v>
      </c>
      <c r="H32">
        <v>7.0699999999999999E-2</v>
      </c>
      <c r="I32" s="37">
        <v>2</v>
      </c>
      <c r="J32" t="s">
        <v>103</v>
      </c>
      <c r="K32" t="s">
        <v>73</v>
      </c>
      <c r="L32">
        <v>2016</v>
      </c>
      <c r="M32" s="13">
        <v>1992</v>
      </c>
      <c r="N32" t="s">
        <v>74</v>
      </c>
      <c r="O32">
        <v>3</v>
      </c>
      <c r="P32">
        <v>8</v>
      </c>
      <c r="Q32">
        <v>2</v>
      </c>
      <c r="R32">
        <v>1</v>
      </c>
    </row>
    <row r="33" spans="1:18" x14ac:dyDescent="0.2">
      <c r="A33" t="s">
        <v>106</v>
      </c>
      <c r="B33" t="s">
        <v>205</v>
      </c>
      <c r="C33">
        <v>63040</v>
      </c>
      <c r="D33" s="1">
        <v>43406</v>
      </c>
      <c r="E33" s="10">
        <v>262750</v>
      </c>
      <c r="F33" s="11">
        <v>172.4</v>
      </c>
      <c r="G33" t="s">
        <v>71</v>
      </c>
      <c r="H33">
        <v>7.0699999999999999E-2</v>
      </c>
      <c r="I33" s="37">
        <v>2</v>
      </c>
      <c r="J33" t="s">
        <v>103</v>
      </c>
      <c r="K33" t="s">
        <v>73</v>
      </c>
      <c r="L33">
        <v>2016</v>
      </c>
      <c r="M33" s="13">
        <v>1524</v>
      </c>
      <c r="N33" t="s">
        <v>74</v>
      </c>
      <c r="O33">
        <v>2</v>
      </c>
      <c r="P33">
        <v>6</v>
      </c>
      <c r="Q33">
        <v>2</v>
      </c>
      <c r="R33">
        <v>1</v>
      </c>
    </row>
    <row r="34" spans="1:18" x14ac:dyDescent="0.2">
      <c r="A34" t="s">
        <v>105</v>
      </c>
      <c r="B34" t="s">
        <v>206</v>
      </c>
      <c r="C34">
        <v>63040</v>
      </c>
      <c r="D34" s="1">
        <v>43788</v>
      </c>
      <c r="E34" s="10">
        <v>312000</v>
      </c>
      <c r="F34" s="11">
        <v>156.62</v>
      </c>
      <c r="G34" t="s">
        <v>71</v>
      </c>
      <c r="H34">
        <v>7.0699999999999999E-2</v>
      </c>
      <c r="I34" s="37">
        <v>2</v>
      </c>
      <c r="J34" t="s">
        <v>103</v>
      </c>
      <c r="K34" t="s">
        <v>73</v>
      </c>
      <c r="L34">
        <v>2016</v>
      </c>
      <c r="M34" s="13">
        <v>1992</v>
      </c>
      <c r="N34" t="s">
        <v>74</v>
      </c>
      <c r="O34">
        <v>3</v>
      </c>
      <c r="P34">
        <v>8</v>
      </c>
      <c r="Q34">
        <v>2</v>
      </c>
      <c r="R34">
        <v>1</v>
      </c>
    </row>
    <row r="35" spans="1:18" x14ac:dyDescent="0.2">
      <c r="A35" t="s">
        <v>107</v>
      </c>
      <c r="B35" t="s">
        <v>207</v>
      </c>
      <c r="C35">
        <v>63040</v>
      </c>
      <c r="D35" s="1">
        <v>43159</v>
      </c>
      <c r="E35" s="10">
        <v>274900</v>
      </c>
      <c r="F35" s="11">
        <v>143.62</v>
      </c>
      <c r="G35" t="s">
        <v>71</v>
      </c>
      <c r="H35">
        <v>7.1300000000000002E-2</v>
      </c>
      <c r="I35" s="37">
        <v>2</v>
      </c>
      <c r="J35" t="s">
        <v>103</v>
      </c>
      <c r="K35" t="s">
        <v>73</v>
      </c>
      <c r="L35">
        <v>2017</v>
      </c>
      <c r="M35" s="13">
        <v>1914</v>
      </c>
      <c r="N35" t="s">
        <v>74</v>
      </c>
      <c r="O35">
        <v>4</v>
      </c>
      <c r="P35">
        <v>7</v>
      </c>
      <c r="Q35">
        <v>2</v>
      </c>
      <c r="R35">
        <v>1</v>
      </c>
    </row>
    <row r="36" spans="1:18" x14ac:dyDescent="0.2">
      <c r="A36" t="s">
        <v>108</v>
      </c>
      <c r="B36" t="s">
        <v>208</v>
      </c>
      <c r="C36">
        <v>63040</v>
      </c>
      <c r="D36" s="1">
        <v>44063</v>
      </c>
      <c r="E36" s="10">
        <v>337500</v>
      </c>
      <c r="F36" s="11">
        <v>168.75</v>
      </c>
      <c r="G36" t="s">
        <v>71</v>
      </c>
      <c r="H36">
        <v>7.2900000000000006E-2</v>
      </c>
      <c r="I36" s="37">
        <v>2</v>
      </c>
      <c r="J36" t="s">
        <v>103</v>
      </c>
      <c r="K36" t="s">
        <v>73</v>
      </c>
      <c r="L36">
        <v>2016</v>
      </c>
      <c r="M36" s="13">
        <v>2000</v>
      </c>
      <c r="N36" t="s">
        <v>74</v>
      </c>
      <c r="O36">
        <v>3</v>
      </c>
      <c r="P36">
        <v>6</v>
      </c>
      <c r="Q36">
        <v>2</v>
      </c>
      <c r="R36">
        <v>1</v>
      </c>
    </row>
    <row r="37" spans="1:18" x14ac:dyDescent="0.2">
      <c r="A37" t="s">
        <v>109</v>
      </c>
      <c r="B37" t="s">
        <v>209</v>
      </c>
      <c r="C37">
        <v>63040</v>
      </c>
      <c r="D37" s="1">
        <v>44180</v>
      </c>
      <c r="E37" s="10">
        <v>346000</v>
      </c>
      <c r="F37" s="11">
        <v>173.69</v>
      </c>
      <c r="G37" t="s">
        <v>71</v>
      </c>
      <c r="H37">
        <v>7.2900000000000006E-2</v>
      </c>
      <c r="I37" s="37">
        <v>2</v>
      </c>
      <c r="J37" t="s">
        <v>103</v>
      </c>
      <c r="K37" t="s">
        <v>73</v>
      </c>
      <c r="L37">
        <v>2016</v>
      </c>
      <c r="M37" s="13">
        <v>1992</v>
      </c>
      <c r="N37" t="s">
        <v>74</v>
      </c>
      <c r="O37">
        <v>3</v>
      </c>
      <c r="P37">
        <v>6</v>
      </c>
      <c r="Q37">
        <v>2</v>
      </c>
      <c r="R37">
        <v>1</v>
      </c>
    </row>
    <row r="38" spans="1:18" x14ac:dyDescent="0.2">
      <c r="A38" t="s">
        <v>110</v>
      </c>
      <c r="B38" t="s">
        <v>210</v>
      </c>
      <c r="C38">
        <v>63040</v>
      </c>
      <c r="D38" s="1">
        <v>43119</v>
      </c>
      <c r="E38" s="10">
        <v>300000</v>
      </c>
      <c r="F38" s="11">
        <v>150.6</v>
      </c>
      <c r="G38" t="s">
        <v>71</v>
      </c>
      <c r="H38">
        <v>7.0599999999999996E-2</v>
      </c>
      <c r="I38" s="37">
        <v>2</v>
      </c>
      <c r="J38" t="s">
        <v>103</v>
      </c>
      <c r="K38" t="s">
        <v>73</v>
      </c>
      <c r="L38">
        <v>2016</v>
      </c>
      <c r="M38" s="13">
        <v>1992</v>
      </c>
      <c r="N38" t="s">
        <v>74</v>
      </c>
      <c r="O38">
        <v>3</v>
      </c>
      <c r="P38">
        <v>6</v>
      </c>
      <c r="Q38">
        <v>2</v>
      </c>
      <c r="R38">
        <v>1</v>
      </c>
    </row>
    <row r="39" spans="1:18" x14ac:dyDescent="0.2">
      <c r="A39" t="s">
        <v>111</v>
      </c>
      <c r="B39" t="s">
        <v>211</v>
      </c>
      <c r="C39">
        <v>63040</v>
      </c>
      <c r="D39" s="1">
        <v>43370</v>
      </c>
      <c r="E39" s="10">
        <v>230000</v>
      </c>
      <c r="F39" s="11">
        <v>152.11000000000001</v>
      </c>
      <c r="G39" t="s">
        <v>71</v>
      </c>
      <c r="H39">
        <v>6.8900000000000003E-2</v>
      </c>
      <c r="I39" s="37">
        <v>2</v>
      </c>
      <c r="J39" t="s">
        <v>103</v>
      </c>
      <c r="K39" t="s">
        <v>73</v>
      </c>
      <c r="L39">
        <v>2016</v>
      </c>
      <c r="M39" s="13">
        <v>1512</v>
      </c>
      <c r="N39" t="s">
        <v>74</v>
      </c>
      <c r="O39">
        <v>2</v>
      </c>
      <c r="P39">
        <v>5</v>
      </c>
      <c r="Q39">
        <v>2</v>
      </c>
      <c r="R39">
        <v>1</v>
      </c>
    </row>
    <row r="40" spans="1:18" x14ac:dyDescent="0.2">
      <c r="A40" t="s">
        <v>112</v>
      </c>
      <c r="B40" t="s">
        <v>212</v>
      </c>
      <c r="C40">
        <v>63040</v>
      </c>
      <c r="D40" s="1">
        <v>43483</v>
      </c>
      <c r="E40" s="10">
        <v>255000</v>
      </c>
      <c r="F40" s="11">
        <v>133.36000000000001</v>
      </c>
      <c r="G40" t="s">
        <v>71</v>
      </c>
      <c r="H40">
        <v>5.7000000000000002E-2</v>
      </c>
      <c r="I40" s="37">
        <v>2</v>
      </c>
      <c r="J40" t="s">
        <v>103</v>
      </c>
      <c r="K40" t="s">
        <v>73</v>
      </c>
      <c r="L40">
        <v>2016</v>
      </c>
      <c r="M40" s="13">
        <v>1912</v>
      </c>
      <c r="N40" t="s">
        <v>74</v>
      </c>
      <c r="O40">
        <v>2</v>
      </c>
      <c r="P40">
        <v>6</v>
      </c>
      <c r="Q40">
        <v>3</v>
      </c>
      <c r="R40">
        <v>1</v>
      </c>
    </row>
    <row r="41" spans="1:18" x14ac:dyDescent="0.2">
      <c r="A41" t="s">
        <v>113</v>
      </c>
      <c r="B41" t="s">
        <v>213</v>
      </c>
      <c r="C41">
        <v>63040</v>
      </c>
      <c r="D41" s="1">
        <v>43664</v>
      </c>
      <c r="E41" s="10">
        <v>322500</v>
      </c>
      <c r="F41" s="11">
        <v>161.88999999999999</v>
      </c>
      <c r="G41" t="s">
        <v>71</v>
      </c>
      <c r="H41">
        <v>7.0599999999999996E-2</v>
      </c>
      <c r="I41" s="37">
        <v>2</v>
      </c>
      <c r="J41" t="s">
        <v>103</v>
      </c>
      <c r="K41" t="s">
        <v>73</v>
      </c>
      <c r="L41">
        <v>2016</v>
      </c>
      <c r="M41" s="13">
        <v>1992</v>
      </c>
      <c r="N41" t="s">
        <v>74</v>
      </c>
      <c r="O41">
        <v>3</v>
      </c>
      <c r="P41">
        <v>6</v>
      </c>
      <c r="Q41">
        <v>2</v>
      </c>
      <c r="R41">
        <v>1</v>
      </c>
    </row>
    <row r="42" spans="1:18" x14ac:dyDescent="0.2">
      <c r="A42" t="s">
        <v>114</v>
      </c>
      <c r="B42" t="s">
        <v>214</v>
      </c>
      <c r="C42">
        <v>63040</v>
      </c>
      <c r="D42" s="1">
        <v>43193</v>
      </c>
      <c r="E42" s="10">
        <v>301136</v>
      </c>
      <c r="F42" s="11">
        <v>152.38999999999999</v>
      </c>
      <c r="G42" t="s">
        <v>71</v>
      </c>
      <c r="H42">
        <v>7.4300000000000005E-2</v>
      </c>
      <c r="I42" s="37">
        <v>2</v>
      </c>
      <c r="J42" t="s">
        <v>103</v>
      </c>
      <c r="K42" t="s">
        <v>73</v>
      </c>
      <c r="L42">
        <v>2018</v>
      </c>
      <c r="M42" s="13">
        <v>1976</v>
      </c>
      <c r="N42" t="s">
        <v>74</v>
      </c>
      <c r="O42">
        <v>3</v>
      </c>
      <c r="P42">
        <v>6</v>
      </c>
      <c r="Q42">
        <v>2</v>
      </c>
      <c r="R42">
        <v>1</v>
      </c>
    </row>
    <row r="43" spans="1:18" x14ac:dyDescent="0.2">
      <c r="A43" t="s">
        <v>115</v>
      </c>
      <c r="B43" t="s">
        <v>215</v>
      </c>
      <c r="C43">
        <v>63040</v>
      </c>
      <c r="D43" s="1">
        <v>43251</v>
      </c>
      <c r="E43" s="10">
        <v>223365</v>
      </c>
      <c r="F43" s="11">
        <v>143.18</v>
      </c>
      <c r="G43" t="s">
        <v>71</v>
      </c>
      <c r="H43">
        <v>5.0099999999999999E-2</v>
      </c>
      <c r="I43" s="37">
        <v>2</v>
      </c>
      <c r="J43" t="s">
        <v>103</v>
      </c>
      <c r="K43" t="s">
        <v>73</v>
      </c>
      <c r="L43">
        <v>2017</v>
      </c>
      <c r="M43" s="13">
        <v>1560</v>
      </c>
      <c r="N43" t="s">
        <v>74</v>
      </c>
      <c r="O43">
        <v>2</v>
      </c>
      <c r="P43">
        <v>4</v>
      </c>
      <c r="Q43">
        <v>2</v>
      </c>
      <c r="R43">
        <v>1</v>
      </c>
    </row>
    <row r="44" spans="1:18" x14ac:dyDescent="0.2">
      <c r="A44" t="s">
        <v>115</v>
      </c>
      <c r="B44" t="s">
        <v>215</v>
      </c>
      <c r="C44">
        <v>63040</v>
      </c>
      <c r="D44" s="1">
        <v>43293</v>
      </c>
      <c r="E44" s="10">
        <v>223365</v>
      </c>
      <c r="F44" s="11">
        <v>143.18</v>
      </c>
      <c r="G44">
        <v>4</v>
      </c>
      <c r="H44">
        <v>5.0099999999999999E-2</v>
      </c>
      <c r="I44" s="37">
        <v>2</v>
      </c>
      <c r="J44" t="s">
        <v>103</v>
      </c>
      <c r="K44" t="s">
        <v>73</v>
      </c>
      <c r="L44">
        <v>2017</v>
      </c>
      <c r="M44" s="13">
        <v>1560</v>
      </c>
      <c r="N44" t="s">
        <v>74</v>
      </c>
      <c r="O44">
        <v>2</v>
      </c>
      <c r="P44">
        <v>4</v>
      </c>
      <c r="Q44">
        <v>2</v>
      </c>
      <c r="R44">
        <v>1</v>
      </c>
    </row>
    <row r="45" spans="1:18" x14ac:dyDescent="0.2">
      <c r="A45" t="s">
        <v>115</v>
      </c>
      <c r="B45" t="s">
        <v>216</v>
      </c>
      <c r="C45">
        <v>63040</v>
      </c>
      <c r="D45" s="1">
        <v>43949</v>
      </c>
      <c r="E45" s="10">
        <v>258000</v>
      </c>
      <c r="F45" s="11">
        <v>165.38</v>
      </c>
      <c r="G45" t="s">
        <v>71</v>
      </c>
      <c r="H45">
        <v>5.0099999999999999E-2</v>
      </c>
      <c r="I45" s="37">
        <v>2</v>
      </c>
      <c r="J45" t="s">
        <v>103</v>
      </c>
      <c r="K45" t="s">
        <v>73</v>
      </c>
      <c r="L45">
        <v>2017</v>
      </c>
      <c r="M45" s="13">
        <v>1560</v>
      </c>
      <c r="N45" t="s">
        <v>74</v>
      </c>
      <c r="O45">
        <v>2</v>
      </c>
      <c r="P45">
        <v>4</v>
      </c>
      <c r="Q45">
        <v>2</v>
      </c>
      <c r="R45">
        <v>1</v>
      </c>
    </row>
    <row r="46" spans="1:18" x14ac:dyDescent="0.2">
      <c r="A46" t="s">
        <v>116</v>
      </c>
      <c r="B46" t="s">
        <v>217</v>
      </c>
      <c r="C46">
        <v>63040</v>
      </c>
      <c r="D46" s="1">
        <v>43117</v>
      </c>
      <c r="E46" s="10">
        <v>220000</v>
      </c>
      <c r="F46" s="11">
        <v>123.87</v>
      </c>
      <c r="G46" t="s">
        <v>71</v>
      </c>
      <c r="H46">
        <v>3.2500000000000001E-2</v>
      </c>
      <c r="I46" s="37">
        <v>2</v>
      </c>
      <c r="J46" t="s">
        <v>103</v>
      </c>
      <c r="K46" t="s">
        <v>73</v>
      </c>
      <c r="L46">
        <v>2005</v>
      </c>
      <c r="M46" s="13">
        <v>1776</v>
      </c>
      <c r="N46" t="s">
        <v>74</v>
      </c>
      <c r="O46">
        <v>2</v>
      </c>
      <c r="P46">
        <v>5</v>
      </c>
      <c r="Q46">
        <v>2</v>
      </c>
      <c r="R46">
        <v>1</v>
      </c>
    </row>
    <row r="47" spans="1:18" x14ac:dyDescent="0.2">
      <c r="A47" t="s">
        <v>117</v>
      </c>
      <c r="B47" t="s">
        <v>218</v>
      </c>
      <c r="C47">
        <v>63040</v>
      </c>
      <c r="D47" s="1">
        <v>43252</v>
      </c>
      <c r="E47" s="10">
        <v>220000</v>
      </c>
      <c r="F47" s="11">
        <v>145.5</v>
      </c>
      <c r="G47" t="s">
        <v>71</v>
      </c>
      <c r="H47">
        <v>5.4199999999999998E-2</v>
      </c>
      <c r="I47" s="37">
        <v>2</v>
      </c>
      <c r="J47" t="s">
        <v>103</v>
      </c>
      <c r="K47" t="s">
        <v>73</v>
      </c>
      <c r="L47">
        <v>2018</v>
      </c>
      <c r="M47" s="13">
        <v>1512</v>
      </c>
      <c r="N47" t="s">
        <v>74</v>
      </c>
      <c r="O47">
        <v>3</v>
      </c>
      <c r="P47">
        <v>6</v>
      </c>
      <c r="Q47">
        <v>2</v>
      </c>
      <c r="R47">
        <v>1</v>
      </c>
    </row>
    <row r="48" spans="1:18" x14ac:dyDescent="0.2">
      <c r="A48" t="s">
        <v>118</v>
      </c>
      <c r="B48" t="s">
        <v>219</v>
      </c>
      <c r="C48">
        <v>63040</v>
      </c>
      <c r="D48" s="1">
        <v>43671</v>
      </c>
      <c r="E48" s="10">
        <v>205000</v>
      </c>
      <c r="F48" s="11">
        <v>158.16999999999999</v>
      </c>
      <c r="G48" t="s">
        <v>71</v>
      </c>
      <c r="H48">
        <v>5.0599999999999999E-2</v>
      </c>
      <c r="I48" s="37">
        <v>2</v>
      </c>
      <c r="J48" t="s">
        <v>103</v>
      </c>
      <c r="K48" t="s">
        <v>73</v>
      </c>
      <c r="L48">
        <v>2017</v>
      </c>
      <c r="M48" s="13">
        <v>1296</v>
      </c>
      <c r="N48" t="s">
        <v>74</v>
      </c>
      <c r="O48">
        <v>2</v>
      </c>
      <c r="P48">
        <v>5</v>
      </c>
      <c r="Q48">
        <v>2</v>
      </c>
      <c r="R48">
        <v>1</v>
      </c>
    </row>
    <row r="49" spans="1:18" x14ac:dyDescent="0.2">
      <c r="A49" t="s">
        <v>119</v>
      </c>
      <c r="B49" t="s">
        <v>220</v>
      </c>
      <c r="C49">
        <v>63040</v>
      </c>
      <c r="D49" s="1">
        <v>43228</v>
      </c>
      <c r="E49" s="10">
        <v>258000</v>
      </c>
      <c r="F49" s="11">
        <v>169.29</v>
      </c>
      <c r="G49" t="s">
        <v>71</v>
      </c>
      <c r="H49">
        <v>6.0999999999999999E-2</v>
      </c>
      <c r="I49" s="37">
        <v>2</v>
      </c>
      <c r="J49" t="s">
        <v>103</v>
      </c>
      <c r="K49" t="s">
        <v>73</v>
      </c>
      <c r="L49">
        <v>2018</v>
      </c>
      <c r="M49" s="13">
        <v>1524</v>
      </c>
      <c r="N49" t="s">
        <v>74</v>
      </c>
      <c r="O49">
        <v>3</v>
      </c>
      <c r="P49">
        <v>6</v>
      </c>
      <c r="Q49">
        <v>2</v>
      </c>
      <c r="R49">
        <v>1</v>
      </c>
    </row>
    <row r="50" spans="1:18" x14ac:dyDescent="0.2">
      <c r="A50" t="s">
        <v>120</v>
      </c>
      <c r="B50" t="s">
        <v>221</v>
      </c>
      <c r="C50">
        <v>63040</v>
      </c>
      <c r="D50" s="1">
        <v>43434</v>
      </c>
      <c r="E50" s="10">
        <v>235000</v>
      </c>
      <c r="F50" s="11">
        <v>183.59</v>
      </c>
      <c r="G50" t="s">
        <v>71</v>
      </c>
      <c r="H50">
        <v>5.16E-2</v>
      </c>
      <c r="I50" s="37">
        <v>2</v>
      </c>
      <c r="J50" t="s">
        <v>103</v>
      </c>
      <c r="K50" t="s">
        <v>73</v>
      </c>
      <c r="L50">
        <v>2017</v>
      </c>
      <c r="M50" s="13">
        <v>1280</v>
      </c>
      <c r="N50" t="s">
        <v>74</v>
      </c>
      <c r="O50">
        <v>2</v>
      </c>
      <c r="P50">
        <v>5</v>
      </c>
      <c r="Q50">
        <v>2</v>
      </c>
      <c r="R50">
        <v>1</v>
      </c>
    </row>
    <row r="51" spans="1:18" x14ac:dyDescent="0.2">
      <c r="A51" t="s">
        <v>121</v>
      </c>
      <c r="B51" t="s">
        <v>222</v>
      </c>
      <c r="C51">
        <v>63040</v>
      </c>
      <c r="D51" s="1">
        <v>43591</v>
      </c>
      <c r="E51" s="10">
        <v>271000</v>
      </c>
      <c r="F51" s="11">
        <v>179.23</v>
      </c>
      <c r="G51" t="s">
        <v>71</v>
      </c>
      <c r="H51">
        <v>7.1099999999999997E-2</v>
      </c>
      <c r="I51" s="37">
        <v>2</v>
      </c>
      <c r="J51" t="s">
        <v>103</v>
      </c>
      <c r="K51" t="s">
        <v>73</v>
      </c>
      <c r="L51">
        <v>2016</v>
      </c>
      <c r="M51" s="13">
        <v>1512</v>
      </c>
      <c r="N51" t="s">
        <v>74</v>
      </c>
      <c r="O51">
        <v>2</v>
      </c>
      <c r="P51">
        <v>6</v>
      </c>
      <c r="Q51">
        <v>2</v>
      </c>
      <c r="R51">
        <v>1</v>
      </c>
    </row>
    <row r="52" spans="1:18" x14ac:dyDescent="0.2">
      <c r="A52" t="s">
        <v>122</v>
      </c>
      <c r="B52" t="s">
        <v>223</v>
      </c>
      <c r="C52">
        <v>63040</v>
      </c>
      <c r="D52" s="1">
        <v>43605</v>
      </c>
      <c r="E52" s="10">
        <v>310000</v>
      </c>
      <c r="F52" s="11">
        <v>154.84</v>
      </c>
      <c r="G52" t="s">
        <v>71</v>
      </c>
      <c r="H52">
        <v>6.9199999999999998E-2</v>
      </c>
      <c r="I52" s="37">
        <v>2</v>
      </c>
      <c r="J52" t="s">
        <v>103</v>
      </c>
      <c r="K52" t="s">
        <v>73</v>
      </c>
      <c r="L52">
        <v>2016</v>
      </c>
      <c r="M52" s="13">
        <v>2002</v>
      </c>
      <c r="N52" t="s">
        <v>74</v>
      </c>
      <c r="O52">
        <v>3</v>
      </c>
      <c r="P52">
        <v>8</v>
      </c>
      <c r="Q52">
        <v>2</v>
      </c>
      <c r="R52">
        <v>1</v>
      </c>
    </row>
    <row r="53" spans="1:18" x14ac:dyDescent="0.2">
      <c r="A53" t="s">
        <v>123</v>
      </c>
      <c r="B53" t="s">
        <v>224</v>
      </c>
      <c r="C53">
        <v>63040</v>
      </c>
      <c r="D53" s="1">
        <v>43893</v>
      </c>
      <c r="E53" s="10">
        <v>234000</v>
      </c>
      <c r="F53" s="11">
        <v>122.38</v>
      </c>
      <c r="G53" t="s">
        <v>71</v>
      </c>
      <c r="H53">
        <v>5.0999999999999997E-2</v>
      </c>
      <c r="I53" s="37">
        <v>2</v>
      </c>
      <c r="J53" t="s">
        <v>103</v>
      </c>
      <c r="K53" t="s">
        <v>73</v>
      </c>
      <c r="L53">
        <v>2002</v>
      </c>
      <c r="M53" s="13">
        <v>1912</v>
      </c>
      <c r="N53" t="s">
        <v>74</v>
      </c>
      <c r="O53">
        <v>3</v>
      </c>
      <c r="P53">
        <v>5</v>
      </c>
      <c r="Q53">
        <v>3</v>
      </c>
      <c r="R53">
        <v>1</v>
      </c>
    </row>
    <row r="54" spans="1:18" x14ac:dyDescent="0.2">
      <c r="A54" t="s">
        <v>124</v>
      </c>
      <c r="B54" t="s">
        <v>225</v>
      </c>
      <c r="C54">
        <v>63040</v>
      </c>
      <c r="D54" s="1">
        <v>44064</v>
      </c>
      <c r="E54" s="10">
        <v>355000</v>
      </c>
      <c r="F54" s="11">
        <v>145.37</v>
      </c>
      <c r="G54" t="s">
        <v>71</v>
      </c>
      <c r="H54">
        <v>6.6699999999999995E-2</v>
      </c>
      <c r="I54" s="37">
        <v>2</v>
      </c>
      <c r="J54" t="s">
        <v>103</v>
      </c>
      <c r="K54" t="s">
        <v>73</v>
      </c>
      <c r="L54">
        <v>2016</v>
      </c>
      <c r="M54" s="13">
        <v>2442</v>
      </c>
      <c r="N54" t="s">
        <v>74</v>
      </c>
      <c r="O54">
        <v>3</v>
      </c>
      <c r="P54">
        <v>7</v>
      </c>
      <c r="Q54">
        <v>3</v>
      </c>
      <c r="R54">
        <v>1</v>
      </c>
    </row>
    <row r="55" spans="1:18" x14ac:dyDescent="0.2">
      <c r="A55" t="s">
        <v>125</v>
      </c>
      <c r="B55" t="s">
        <v>226</v>
      </c>
      <c r="C55">
        <v>63040</v>
      </c>
      <c r="D55" s="1">
        <v>43132</v>
      </c>
      <c r="E55" s="10">
        <v>280854</v>
      </c>
      <c r="F55" s="11">
        <v>216.7</v>
      </c>
      <c r="G55">
        <v>1</v>
      </c>
      <c r="H55">
        <v>5.16E-2</v>
      </c>
      <c r="I55" s="37">
        <v>2</v>
      </c>
      <c r="J55" t="s">
        <v>103</v>
      </c>
      <c r="K55" t="s">
        <v>73</v>
      </c>
      <c r="L55">
        <v>2017</v>
      </c>
      <c r="M55" s="13">
        <v>1296</v>
      </c>
      <c r="N55" t="s">
        <v>74</v>
      </c>
      <c r="O55">
        <v>2</v>
      </c>
      <c r="P55">
        <v>4</v>
      </c>
      <c r="Q55">
        <v>2</v>
      </c>
      <c r="R55">
        <v>1</v>
      </c>
    </row>
    <row r="56" spans="1:18" x14ac:dyDescent="0.2">
      <c r="A56" t="s">
        <v>125</v>
      </c>
      <c r="B56" t="s">
        <v>226</v>
      </c>
      <c r="C56">
        <v>63040</v>
      </c>
      <c r="D56" s="1">
        <v>43648</v>
      </c>
      <c r="E56" s="10">
        <v>210000</v>
      </c>
      <c r="F56" s="11">
        <v>162.03</v>
      </c>
      <c r="G56" t="s">
        <v>71</v>
      </c>
      <c r="H56">
        <v>5.16E-2</v>
      </c>
      <c r="I56" s="37">
        <v>2</v>
      </c>
      <c r="J56" t="s">
        <v>103</v>
      </c>
      <c r="K56" t="s">
        <v>73</v>
      </c>
      <c r="L56">
        <v>2017</v>
      </c>
      <c r="M56" s="13">
        <v>1296</v>
      </c>
      <c r="N56" t="s">
        <v>74</v>
      </c>
      <c r="O56">
        <v>2</v>
      </c>
      <c r="P56">
        <v>4</v>
      </c>
      <c r="Q56">
        <v>2</v>
      </c>
      <c r="R56">
        <v>1</v>
      </c>
    </row>
    <row r="57" spans="1:18" x14ac:dyDescent="0.2">
      <c r="A57" t="s">
        <v>126</v>
      </c>
      <c r="B57" t="s">
        <v>227</v>
      </c>
      <c r="C57">
        <v>63040</v>
      </c>
      <c r="D57" s="1">
        <v>43132</v>
      </c>
      <c r="E57" s="10">
        <v>280854</v>
      </c>
      <c r="F57" s="11">
        <v>219.41</v>
      </c>
      <c r="G57">
        <v>1</v>
      </c>
      <c r="H57">
        <v>5.45E-2</v>
      </c>
      <c r="I57" s="37">
        <v>2</v>
      </c>
      <c r="J57" t="s">
        <v>103</v>
      </c>
      <c r="K57" t="s">
        <v>73</v>
      </c>
      <c r="L57">
        <v>2017</v>
      </c>
      <c r="M57" s="13">
        <v>1280</v>
      </c>
      <c r="N57" t="s">
        <v>74</v>
      </c>
      <c r="O57">
        <v>2</v>
      </c>
      <c r="P57">
        <v>4</v>
      </c>
      <c r="Q57">
        <v>2</v>
      </c>
      <c r="R57">
        <v>1</v>
      </c>
    </row>
    <row r="58" spans="1:18" x14ac:dyDescent="0.2">
      <c r="A58" t="s">
        <v>126</v>
      </c>
      <c r="B58" t="s">
        <v>227</v>
      </c>
      <c r="C58">
        <v>63040</v>
      </c>
      <c r="D58" s="1">
        <v>43641</v>
      </c>
      <c r="E58" s="10">
        <v>216500</v>
      </c>
      <c r="F58" s="11">
        <v>169.14</v>
      </c>
      <c r="G58" t="s">
        <v>71</v>
      </c>
      <c r="H58">
        <v>5.45E-2</v>
      </c>
      <c r="I58" s="37">
        <v>2</v>
      </c>
      <c r="J58" t="s">
        <v>103</v>
      </c>
      <c r="K58" t="s">
        <v>73</v>
      </c>
      <c r="L58">
        <v>2017</v>
      </c>
      <c r="M58" s="13">
        <v>1280</v>
      </c>
      <c r="N58" t="s">
        <v>74</v>
      </c>
      <c r="O58">
        <v>2</v>
      </c>
      <c r="P58">
        <v>4</v>
      </c>
      <c r="Q58">
        <v>2</v>
      </c>
      <c r="R58">
        <v>1</v>
      </c>
    </row>
    <row r="59" spans="1:18" x14ac:dyDescent="0.2">
      <c r="A59" t="s">
        <v>127</v>
      </c>
      <c r="B59" t="s">
        <v>228</v>
      </c>
      <c r="C59">
        <v>63040</v>
      </c>
      <c r="D59" s="1">
        <v>44061</v>
      </c>
      <c r="E59" s="10">
        <v>260000</v>
      </c>
      <c r="F59" s="11">
        <v>113.83</v>
      </c>
      <c r="G59" t="s">
        <v>71</v>
      </c>
      <c r="H59">
        <v>5.5E-2</v>
      </c>
      <c r="I59" s="37">
        <v>2</v>
      </c>
      <c r="J59" t="s">
        <v>103</v>
      </c>
      <c r="K59" t="s">
        <v>73</v>
      </c>
      <c r="L59">
        <v>2004</v>
      </c>
      <c r="M59" s="13">
        <v>2284</v>
      </c>
      <c r="N59" t="s">
        <v>74</v>
      </c>
      <c r="O59">
        <v>2</v>
      </c>
      <c r="P59">
        <v>8</v>
      </c>
      <c r="Q59">
        <v>2</v>
      </c>
      <c r="R59">
        <v>2</v>
      </c>
    </row>
    <row r="60" spans="1:18" x14ac:dyDescent="0.2">
      <c r="A60" t="s">
        <v>126</v>
      </c>
      <c r="B60" t="s">
        <v>227</v>
      </c>
      <c r="C60">
        <v>63040</v>
      </c>
      <c r="D60" s="1">
        <v>44203</v>
      </c>
      <c r="E60" s="10">
        <v>219500</v>
      </c>
      <c r="F60" s="11">
        <v>171.48</v>
      </c>
      <c r="G60" t="s">
        <v>71</v>
      </c>
      <c r="H60">
        <v>5.45E-2</v>
      </c>
      <c r="I60" s="37">
        <v>2</v>
      </c>
      <c r="J60" t="s">
        <v>103</v>
      </c>
      <c r="K60" t="s">
        <v>73</v>
      </c>
      <c r="L60">
        <v>2017</v>
      </c>
      <c r="M60" s="13">
        <v>1280</v>
      </c>
      <c r="N60" t="s">
        <v>74</v>
      </c>
      <c r="O60">
        <v>2</v>
      </c>
      <c r="P60">
        <v>4</v>
      </c>
      <c r="Q60">
        <v>2</v>
      </c>
      <c r="R60">
        <v>1</v>
      </c>
    </row>
    <row r="61" spans="1:18" x14ac:dyDescent="0.2">
      <c r="A61" t="s">
        <v>128</v>
      </c>
      <c r="B61" t="s">
        <v>229</v>
      </c>
      <c r="C61">
        <v>63040</v>
      </c>
      <c r="D61" s="1">
        <v>44061</v>
      </c>
      <c r="E61" s="10">
        <v>255000</v>
      </c>
      <c r="F61" s="11">
        <v>143.9</v>
      </c>
      <c r="G61" t="s">
        <v>71</v>
      </c>
      <c r="H61">
        <v>5.0999999999999997E-2</v>
      </c>
      <c r="I61" s="37">
        <v>2</v>
      </c>
      <c r="J61" t="s">
        <v>103</v>
      </c>
      <c r="K61" t="s">
        <v>73</v>
      </c>
      <c r="L61">
        <v>2008</v>
      </c>
      <c r="M61" s="13">
        <v>1772</v>
      </c>
      <c r="N61" t="s">
        <v>74</v>
      </c>
      <c r="O61">
        <v>3</v>
      </c>
      <c r="P61">
        <v>6</v>
      </c>
      <c r="Q61">
        <v>2</v>
      </c>
      <c r="R61">
        <v>1</v>
      </c>
    </row>
    <row r="62" spans="1:18" x14ac:dyDescent="0.2">
      <c r="A62" t="s">
        <v>129</v>
      </c>
      <c r="B62" t="s">
        <v>230</v>
      </c>
      <c r="C62">
        <v>63040</v>
      </c>
      <c r="D62" s="1">
        <v>43319</v>
      </c>
      <c r="E62" s="10">
        <v>260000</v>
      </c>
      <c r="F62" s="11">
        <v>146.38999999999999</v>
      </c>
      <c r="G62" t="s">
        <v>71</v>
      </c>
      <c r="H62">
        <v>0.04</v>
      </c>
      <c r="I62" s="37">
        <v>2</v>
      </c>
      <c r="J62" t="s">
        <v>103</v>
      </c>
      <c r="K62" t="s">
        <v>73</v>
      </c>
      <c r="L62">
        <v>2007</v>
      </c>
      <c r="M62" s="13">
        <v>1776</v>
      </c>
      <c r="N62" t="s">
        <v>74</v>
      </c>
      <c r="O62">
        <v>2</v>
      </c>
      <c r="P62">
        <v>6</v>
      </c>
      <c r="Q62">
        <v>2</v>
      </c>
      <c r="R62">
        <v>1</v>
      </c>
    </row>
    <row r="63" spans="1:18" x14ac:dyDescent="0.2">
      <c r="A63" t="s">
        <v>130</v>
      </c>
      <c r="B63" t="s">
        <v>231</v>
      </c>
      <c r="C63">
        <v>63038</v>
      </c>
      <c r="D63" s="1">
        <v>43228</v>
      </c>
      <c r="E63" s="10">
        <v>221500</v>
      </c>
      <c r="F63" s="11">
        <v>138.94999999999999</v>
      </c>
      <c r="G63" t="s">
        <v>71</v>
      </c>
      <c r="H63">
        <v>8.3599999999999994E-2</v>
      </c>
      <c r="I63" s="37">
        <v>2</v>
      </c>
      <c r="J63" t="s">
        <v>86</v>
      </c>
      <c r="K63" t="s">
        <v>73</v>
      </c>
      <c r="L63">
        <v>1993</v>
      </c>
      <c r="M63" s="13">
        <v>1594</v>
      </c>
      <c r="N63" t="s">
        <v>74</v>
      </c>
      <c r="O63">
        <v>3</v>
      </c>
      <c r="P63">
        <v>5</v>
      </c>
      <c r="Q63">
        <v>2</v>
      </c>
      <c r="R63">
        <v>1</v>
      </c>
    </row>
    <row r="64" spans="1:18" x14ac:dyDescent="0.2">
      <c r="A64" t="s">
        <v>131</v>
      </c>
      <c r="B64" t="s">
        <v>232</v>
      </c>
      <c r="C64">
        <v>63038</v>
      </c>
      <c r="D64" s="1">
        <v>44068</v>
      </c>
      <c r="E64" s="10">
        <v>259000</v>
      </c>
      <c r="F64" s="11">
        <v>177.88</v>
      </c>
      <c r="G64" t="s">
        <v>71</v>
      </c>
      <c r="H64">
        <v>8.2600000000000007E-2</v>
      </c>
      <c r="I64" s="37">
        <v>2</v>
      </c>
      <c r="J64" t="s">
        <v>86</v>
      </c>
      <c r="K64" t="s">
        <v>73</v>
      </c>
      <c r="L64">
        <v>1993</v>
      </c>
      <c r="M64" s="13">
        <v>1456</v>
      </c>
      <c r="N64" t="s">
        <v>74</v>
      </c>
      <c r="O64">
        <v>3</v>
      </c>
      <c r="P64">
        <v>5</v>
      </c>
      <c r="Q64">
        <v>2</v>
      </c>
      <c r="R64">
        <v>1</v>
      </c>
    </row>
    <row r="65" spans="1:18" x14ac:dyDescent="0.2">
      <c r="A65" t="s">
        <v>132</v>
      </c>
      <c r="B65" t="s">
        <v>233</v>
      </c>
      <c r="C65">
        <v>63038</v>
      </c>
      <c r="D65" s="1">
        <v>43465</v>
      </c>
      <c r="E65" s="10">
        <v>225000</v>
      </c>
      <c r="F65" s="11">
        <v>163.75</v>
      </c>
      <c r="G65" t="s">
        <v>133</v>
      </c>
      <c r="H65">
        <v>8.2600000000000007E-2</v>
      </c>
      <c r="I65" s="37">
        <v>2</v>
      </c>
      <c r="J65" t="s">
        <v>86</v>
      </c>
      <c r="K65" t="s">
        <v>73</v>
      </c>
      <c r="L65">
        <v>1993</v>
      </c>
      <c r="M65" s="13">
        <v>1374</v>
      </c>
      <c r="N65" t="s">
        <v>74</v>
      </c>
      <c r="O65">
        <v>3</v>
      </c>
      <c r="P65">
        <v>5</v>
      </c>
      <c r="Q65">
        <v>2</v>
      </c>
      <c r="R65">
        <v>1</v>
      </c>
    </row>
    <row r="66" spans="1:18" x14ac:dyDescent="0.2">
      <c r="A66" t="s">
        <v>134</v>
      </c>
      <c r="B66" t="s">
        <v>234</v>
      </c>
      <c r="C66">
        <v>63038</v>
      </c>
      <c r="D66" s="1">
        <v>43866</v>
      </c>
      <c r="E66" s="10">
        <v>196000</v>
      </c>
      <c r="F66" s="11">
        <v>127.85</v>
      </c>
      <c r="G66" t="s">
        <v>71</v>
      </c>
      <c r="H66">
        <v>8.1699999999999995E-2</v>
      </c>
      <c r="I66" s="37">
        <v>2</v>
      </c>
      <c r="J66" t="s">
        <v>86</v>
      </c>
      <c r="K66" t="s">
        <v>73</v>
      </c>
      <c r="L66">
        <v>1993</v>
      </c>
      <c r="M66" s="13">
        <v>1533</v>
      </c>
      <c r="N66" t="s">
        <v>74</v>
      </c>
      <c r="O66">
        <v>3</v>
      </c>
      <c r="P66">
        <v>5</v>
      </c>
      <c r="Q66">
        <v>2</v>
      </c>
      <c r="R66">
        <v>1</v>
      </c>
    </row>
    <row r="67" spans="1:18" x14ac:dyDescent="0.2">
      <c r="A67" t="s">
        <v>135</v>
      </c>
      <c r="B67" t="s">
        <v>235</v>
      </c>
      <c r="C67">
        <v>63038</v>
      </c>
      <c r="D67" s="1">
        <v>43171</v>
      </c>
      <c r="E67" s="10">
        <v>138840</v>
      </c>
      <c r="F67" s="11">
        <v>102.38</v>
      </c>
      <c r="G67">
        <v>5</v>
      </c>
      <c r="H67">
        <v>7.9500000000000001E-2</v>
      </c>
      <c r="I67" s="37">
        <v>2</v>
      </c>
      <c r="J67" t="s">
        <v>72</v>
      </c>
      <c r="K67" t="s">
        <v>73</v>
      </c>
      <c r="L67">
        <v>1993</v>
      </c>
      <c r="M67" s="13">
        <v>1356</v>
      </c>
      <c r="N67" t="s">
        <v>74</v>
      </c>
      <c r="O67">
        <v>3</v>
      </c>
      <c r="P67">
        <v>6</v>
      </c>
      <c r="Q67">
        <v>2</v>
      </c>
      <c r="R67">
        <v>1</v>
      </c>
    </row>
    <row r="68" spans="1:18" x14ac:dyDescent="0.2">
      <c r="A68" t="s">
        <v>135</v>
      </c>
      <c r="B68" t="s">
        <v>235</v>
      </c>
      <c r="C68">
        <v>63038</v>
      </c>
      <c r="D68" s="1">
        <v>43203</v>
      </c>
      <c r="E68" s="10">
        <v>139250</v>
      </c>
      <c r="F68" s="11">
        <v>102.69</v>
      </c>
      <c r="G68" t="s">
        <v>133</v>
      </c>
      <c r="H68">
        <v>7.9500000000000001E-2</v>
      </c>
      <c r="I68" s="37">
        <v>2</v>
      </c>
      <c r="J68" t="s">
        <v>72</v>
      </c>
      <c r="K68" t="s">
        <v>73</v>
      </c>
      <c r="L68">
        <v>1993</v>
      </c>
      <c r="M68" s="13">
        <v>1356</v>
      </c>
      <c r="N68" t="s">
        <v>74</v>
      </c>
      <c r="O68">
        <v>3</v>
      </c>
      <c r="P68">
        <v>6</v>
      </c>
      <c r="Q68">
        <v>2</v>
      </c>
      <c r="R68">
        <v>1</v>
      </c>
    </row>
    <row r="69" spans="1:18" x14ac:dyDescent="0.2">
      <c r="A69" t="s">
        <v>135</v>
      </c>
      <c r="B69" t="s">
        <v>235</v>
      </c>
      <c r="C69">
        <v>63038</v>
      </c>
      <c r="D69" s="1">
        <v>43357</v>
      </c>
      <c r="E69" s="10">
        <v>226000</v>
      </c>
      <c r="F69" s="11">
        <v>166.66</v>
      </c>
      <c r="G69" t="s">
        <v>71</v>
      </c>
      <c r="H69">
        <v>7.9500000000000001E-2</v>
      </c>
      <c r="I69" s="37">
        <v>2</v>
      </c>
      <c r="J69" t="s">
        <v>72</v>
      </c>
      <c r="K69" t="s">
        <v>73</v>
      </c>
      <c r="L69">
        <v>1993</v>
      </c>
      <c r="M69" s="13">
        <v>1356</v>
      </c>
      <c r="N69" t="s">
        <v>74</v>
      </c>
      <c r="O69">
        <v>3</v>
      </c>
      <c r="P69">
        <v>6</v>
      </c>
      <c r="Q69">
        <v>2</v>
      </c>
      <c r="R69">
        <v>1</v>
      </c>
    </row>
    <row r="70" spans="1:18" x14ac:dyDescent="0.2">
      <c r="A70" t="s">
        <v>136</v>
      </c>
      <c r="B70" t="s">
        <v>236</v>
      </c>
      <c r="C70">
        <v>63038</v>
      </c>
      <c r="D70" s="1">
        <v>43467</v>
      </c>
      <c r="E70" s="10">
        <v>194000</v>
      </c>
      <c r="F70" s="11">
        <v>214.12</v>
      </c>
      <c r="G70" t="s">
        <v>71</v>
      </c>
      <c r="H70">
        <v>9.0899999999999995E-2</v>
      </c>
      <c r="I70" s="37">
        <v>1</v>
      </c>
      <c r="J70" t="s">
        <v>86</v>
      </c>
      <c r="K70" t="s">
        <v>73</v>
      </c>
      <c r="L70">
        <v>1993</v>
      </c>
      <c r="M70">
        <v>906</v>
      </c>
      <c r="N70" t="s">
        <v>74</v>
      </c>
      <c r="O70">
        <v>2</v>
      </c>
      <c r="P70">
        <v>6</v>
      </c>
      <c r="Q70">
        <v>2</v>
      </c>
      <c r="R70">
        <v>0</v>
      </c>
    </row>
    <row r="71" spans="1:18" x14ac:dyDescent="0.2">
      <c r="A71" t="s">
        <v>137</v>
      </c>
      <c r="B71" t="s">
        <v>237</v>
      </c>
      <c r="C71">
        <v>63038</v>
      </c>
      <c r="D71" s="1">
        <v>44145</v>
      </c>
      <c r="E71" s="10">
        <v>240000</v>
      </c>
      <c r="F71" s="11">
        <v>136.05000000000001</v>
      </c>
      <c r="G71" t="s">
        <v>71</v>
      </c>
      <c r="H71">
        <v>8.0299999999999996E-2</v>
      </c>
      <c r="I71" s="37">
        <v>2</v>
      </c>
      <c r="J71" t="s">
        <v>86</v>
      </c>
      <c r="K71" t="s">
        <v>73</v>
      </c>
      <c r="L71">
        <v>1994</v>
      </c>
      <c r="M71" s="13">
        <v>1764</v>
      </c>
      <c r="N71" t="s">
        <v>74</v>
      </c>
      <c r="O71">
        <v>3</v>
      </c>
      <c r="P71">
        <v>6</v>
      </c>
      <c r="Q71">
        <v>3</v>
      </c>
      <c r="R71">
        <v>1</v>
      </c>
    </row>
    <row r="72" spans="1:18" x14ac:dyDescent="0.2">
      <c r="A72" t="s">
        <v>138</v>
      </c>
      <c r="B72" t="s">
        <v>238</v>
      </c>
      <c r="C72">
        <v>63011</v>
      </c>
      <c r="D72" s="1">
        <v>43250</v>
      </c>
      <c r="E72" s="10">
        <v>215000</v>
      </c>
      <c r="F72" s="11">
        <v>151.62</v>
      </c>
      <c r="G72" t="s">
        <v>71</v>
      </c>
      <c r="H72">
        <v>0.1305</v>
      </c>
      <c r="I72" s="37">
        <v>2</v>
      </c>
      <c r="J72" t="s">
        <v>86</v>
      </c>
      <c r="K72" t="s">
        <v>73</v>
      </c>
      <c r="L72">
        <v>1996</v>
      </c>
      <c r="M72" s="13">
        <v>1418</v>
      </c>
      <c r="N72" t="s">
        <v>74</v>
      </c>
      <c r="O72">
        <v>3</v>
      </c>
      <c r="P72">
        <v>6</v>
      </c>
      <c r="Q72">
        <v>2</v>
      </c>
      <c r="R72">
        <v>1</v>
      </c>
    </row>
    <row r="73" spans="1:18" x14ac:dyDescent="0.2">
      <c r="A73" t="s">
        <v>139</v>
      </c>
      <c r="B73" t="s">
        <v>239</v>
      </c>
      <c r="C73">
        <v>63038</v>
      </c>
      <c r="D73" s="1">
        <v>43438</v>
      </c>
      <c r="E73" s="10">
        <v>215000</v>
      </c>
      <c r="F73" s="11">
        <v>158.55000000000001</v>
      </c>
      <c r="G73" t="s">
        <v>71</v>
      </c>
      <c r="H73">
        <v>8.0299999999999996E-2</v>
      </c>
      <c r="I73" s="37">
        <v>2</v>
      </c>
      <c r="J73" t="s">
        <v>72</v>
      </c>
      <c r="K73" t="s">
        <v>73</v>
      </c>
      <c r="L73">
        <v>1993</v>
      </c>
      <c r="M73" s="13">
        <v>1356</v>
      </c>
      <c r="N73" t="s">
        <v>74</v>
      </c>
      <c r="O73">
        <v>3</v>
      </c>
      <c r="P73">
        <v>7</v>
      </c>
      <c r="Q73">
        <v>2</v>
      </c>
      <c r="R73">
        <v>1</v>
      </c>
    </row>
    <row r="74" spans="1:18" x14ac:dyDescent="0.2">
      <c r="A74" t="s">
        <v>140</v>
      </c>
      <c r="B74" t="s">
        <v>240</v>
      </c>
      <c r="C74">
        <v>63011</v>
      </c>
      <c r="D74" s="1">
        <v>44064</v>
      </c>
      <c r="E74" s="10">
        <v>238000</v>
      </c>
      <c r="F74" s="11">
        <v>217.15</v>
      </c>
      <c r="G74" t="s">
        <v>71</v>
      </c>
      <c r="H74">
        <v>8.43E-2</v>
      </c>
      <c r="I74" s="37">
        <v>1</v>
      </c>
      <c r="J74" t="s">
        <v>86</v>
      </c>
      <c r="K74" t="s">
        <v>73</v>
      </c>
      <c r="L74">
        <v>1996</v>
      </c>
      <c r="M74" s="13">
        <v>1096</v>
      </c>
      <c r="N74" t="s">
        <v>74</v>
      </c>
      <c r="O74">
        <v>3</v>
      </c>
      <c r="P74">
        <v>6</v>
      </c>
      <c r="Q74">
        <v>3</v>
      </c>
      <c r="R74">
        <v>0</v>
      </c>
    </row>
    <row r="75" spans="1:18" x14ac:dyDescent="0.2">
      <c r="A75" t="s">
        <v>141</v>
      </c>
      <c r="B75" t="s">
        <v>241</v>
      </c>
      <c r="C75">
        <v>63040</v>
      </c>
      <c r="D75" s="1">
        <v>43627</v>
      </c>
      <c r="E75" s="10">
        <v>408000</v>
      </c>
      <c r="F75" s="11">
        <v>219.11</v>
      </c>
      <c r="G75" t="s">
        <v>71</v>
      </c>
      <c r="H75">
        <v>0.114</v>
      </c>
      <c r="I75" s="37">
        <v>1</v>
      </c>
      <c r="J75" t="s">
        <v>72</v>
      </c>
      <c r="K75" t="s">
        <v>73</v>
      </c>
      <c r="L75">
        <v>2012</v>
      </c>
      <c r="M75" s="13">
        <v>1862</v>
      </c>
      <c r="N75" t="s">
        <v>74</v>
      </c>
      <c r="O75">
        <v>2</v>
      </c>
      <c r="P75">
        <v>6</v>
      </c>
      <c r="Q75">
        <v>2</v>
      </c>
      <c r="R75">
        <v>0</v>
      </c>
    </row>
    <row r="76" spans="1:18" x14ac:dyDescent="0.2">
      <c r="A76" t="s">
        <v>142</v>
      </c>
      <c r="B76" t="s">
        <v>242</v>
      </c>
      <c r="C76">
        <v>63011</v>
      </c>
      <c r="D76" s="1">
        <v>43817</v>
      </c>
      <c r="E76" s="10">
        <v>230500</v>
      </c>
      <c r="F76" s="11">
        <v>168.49</v>
      </c>
      <c r="G76" t="s">
        <v>71</v>
      </c>
      <c r="H76">
        <v>0.22850000000000001</v>
      </c>
      <c r="I76" s="37">
        <v>2</v>
      </c>
      <c r="J76" t="s">
        <v>86</v>
      </c>
      <c r="K76" t="s">
        <v>73</v>
      </c>
      <c r="L76">
        <v>1996</v>
      </c>
      <c r="M76" s="13">
        <v>1368</v>
      </c>
      <c r="N76" t="s">
        <v>74</v>
      </c>
      <c r="O76">
        <v>3</v>
      </c>
      <c r="P76">
        <v>6</v>
      </c>
      <c r="Q76">
        <v>2</v>
      </c>
      <c r="R76">
        <v>1</v>
      </c>
    </row>
    <row r="77" spans="1:18" x14ac:dyDescent="0.2">
      <c r="A77" t="s">
        <v>143</v>
      </c>
      <c r="B77" t="s">
        <v>243</v>
      </c>
      <c r="C77">
        <v>63040</v>
      </c>
      <c r="D77" s="1">
        <v>44218</v>
      </c>
      <c r="E77" s="10">
        <v>390000</v>
      </c>
      <c r="F77" s="11">
        <v>194.8</v>
      </c>
      <c r="G77" t="s">
        <v>71</v>
      </c>
      <c r="H77">
        <v>0.114</v>
      </c>
      <c r="I77" s="37">
        <v>1</v>
      </c>
      <c r="J77" t="s">
        <v>86</v>
      </c>
      <c r="K77" t="s">
        <v>73</v>
      </c>
      <c r="L77">
        <v>2012</v>
      </c>
      <c r="M77" s="13">
        <v>2002</v>
      </c>
      <c r="N77" t="s">
        <v>74</v>
      </c>
      <c r="O77">
        <v>2</v>
      </c>
      <c r="P77">
        <v>6</v>
      </c>
      <c r="Q77">
        <v>3</v>
      </c>
      <c r="R77">
        <v>0</v>
      </c>
    </row>
    <row r="78" spans="1:18" x14ac:dyDescent="0.2">
      <c r="A78" t="s">
        <v>144</v>
      </c>
      <c r="B78" t="s">
        <v>244</v>
      </c>
      <c r="C78">
        <v>63011</v>
      </c>
      <c r="D78" s="1">
        <v>43390</v>
      </c>
      <c r="E78" s="10">
        <v>224000</v>
      </c>
      <c r="F78" s="11">
        <v>192.43</v>
      </c>
      <c r="G78" t="s">
        <v>71</v>
      </c>
      <c r="H78">
        <v>8.0299999999999996E-2</v>
      </c>
      <c r="I78" s="37">
        <v>2</v>
      </c>
      <c r="J78" t="s">
        <v>86</v>
      </c>
      <c r="K78" t="s">
        <v>73</v>
      </c>
      <c r="L78">
        <v>1996</v>
      </c>
      <c r="M78" s="13">
        <v>1164</v>
      </c>
      <c r="N78" t="s">
        <v>74</v>
      </c>
      <c r="O78">
        <v>3</v>
      </c>
      <c r="P78">
        <v>6</v>
      </c>
      <c r="Q78">
        <v>2</v>
      </c>
      <c r="R78">
        <v>1</v>
      </c>
    </row>
    <row r="79" spans="1:18" x14ac:dyDescent="0.2">
      <c r="A79" t="s">
        <v>145</v>
      </c>
      <c r="B79" t="s">
        <v>245</v>
      </c>
      <c r="C79">
        <v>63011</v>
      </c>
      <c r="D79" s="1">
        <v>43465</v>
      </c>
      <c r="E79" s="10">
        <v>199000</v>
      </c>
      <c r="F79" s="11">
        <v>181.56</v>
      </c>
      <c r="G79" t="s">
        <v>71</v>
      </c>
      <c r="H79">
        <v>8.8400000000000006E-2</v>
      </c>
      <c r="I79" s="37">
        <v>1</v>
      </c>
      <c r="J79" t="s">
        <v>86</v>
      </c>
      <c r="K79" t="s">
        <v>73</v>
      </c>
      <c r="L79">
        <v>1996</v>
      </c>
      <c r="M79" s="13">
        <v>1096</v>
      </c>
      <c r="N79" t="s">
        <v>74</v>
      </c>
      <c r="O79">
        <v>2</v>
      </c>
      <c r="P79">
        <v>5</v>
      </c>
      <c r="Q79">
        <v>2</v>
      </c>
      <c r="R79">
        <v>0</v>
      </c>
    </row>
    <row r="80" spans="1:18" x14ac:dyDescent="0.2">
      <c r="A80" t="s">
        <v>146</v>
      </c>
      <c r="B80" t="s">
        <v>246</v>
      </c>
      <c r="C80">
        <v>63011</v>
      </c>
      <c r="D80" s="1">
        <v>43567</v>
      </c>
      <c r="E80" s="10">
        <v>252500</v>
      </c>
      <c r="F80" s="11">
        <v>152.29</v>
      </c>
      <c r="G80" t="s">
        <v>133</v>
      </c>
      <c r="H80">
        <v>8.8400000000000006E-2</v>
      </c>
      <c r="I80" s="37">
        <v>2</v>
      </c>
      <c r="J80" t="s">
        <v>86</v>
      </c>
      <c r="K80" t="s">
        <v>73</v>
      </c>
      <c r="L80">
        <v>1995</v>
      </c>
      <c r="M80" s="13">
        <v>1658</v>
      </c>
      <c r="N80" t="s">
        <v>74</v>
      </c>
      <c r="O80">
        <v>3</v>
      </c>
      <c r="P80">
        <v>6</v>
      </c>
      <c r="Q80">
        <v>2</v>
      </c>
      <c r="R80">
        <v>1</v>
      </c>
    </row>
    <row r="81" spans="1:18" x14ac:dyDescent="0.2">
      <c r="A81" t="s">
        <v>147</v>
      </c>
      <c r="B81" t="s">
        <v>247</v>
      </c>
      <c r="C81">
        <v>63011</v>
      </c>
      <c r="D81" s="1">
        <v>43242</v>
      </c>
      <c r="E81" s="10">
        <v>234900</v>
      </c>
      <c r="F81" s="11">
        <v>170.71</v>
      </c>
      <c r="G81" t="s">
        <v>71</v>
      </c>
      <c r="H81">
        <v>0.1158</v>
      </c>
      <c r="I81" s="37">
        <v>2</v>
      </c>
      <c r="J81" t="s">
        <v>86</v>
      </c>
      <c r="K81" t="s">
        <v>73</v>
      </c>
      <c r="L81">
        <v>1996</v>
      </c>
      <c r="M81" s="13">
        <v>1376</v>
      </c>
      <c r="N81" t="s">
        <v>74</v>
      </c>
      <c r="O81">
        <v>3</v>
      </c>
      <c r="P81">
        <v>7</v>
      </c>
      <c r="Q81">
        <v>2</v>
      </c>
      <c r="R81">
        <v>1</v>
      </c>
    </row>
    <row r="82" spans="1:18" x14ac:dyDescent="0.2">
      <c r="A82" t="s">
        <v>148</v>
      </c>
      <c r="B82" t="s">
        <v>248</v>
      </c>
      <c r="C82">
        <v>63011</v>
      </c>
      <c r="D82" s="1">
        <v>43559</v>
      </c>
      <c r="E82" s="10">
        <v>217027</v>
      </c>
      <c r="F82" s="11">
        <v>153.69999999999999</v>
      </c>
      <c r="G82" t="s">
        <v>71</v>
      </c>
      <c r="H82">
        <v>8.0299999999999996E-2</v>
      </c>
      <c r="I82" s="37">
        <v>2</v>
      </c>
      <c r="J82" t="s">
        <v>86</v>
      </c>
      <c r="K82" t="s">
        <v>73</v>
      </c>
      <c r="L82">
        <v>1994</v>
      </c>
      <c r="M82" s="13">
        <v>1412</v>
      </c>
      <c r="N82" t="s">
        <v>74</v>
      </c>
      <c r="O82">
        <v>3</v>
      </c>
      <c r="P82">
        <v>7</v>
      </c>
      <c r="Q82">
        <v>2</v>
      </c>
      <c r="R82">
        <v>1</v>
      </c>
    </row>
    <row r="83" spans="1:18" x14ac:dyDescent="0.2">
      <c r="A83" t="s">
        <v>149</v>
      </c>
      <c r="B83" t="s">
        <v>249</v>
      </c>
      <c r="C83">
        <v>63011</v>
      </c>
      <c r="D83" s="1">
        <v>44140</v>
      </c>
      <c r="E83" s="10">
        <v>185501</v>
      </c>
      <c r="F83" s="11">
        <v>132.78</v>
      </c>
      <c r="G83">
        <v>3</v>
      </c>
      <c r="H83">
        <v>8.0299999999999996E-2</v>
      </c>
      <c r="I83" s="37">
        <v>2</v>
      </c>
      <c r="J83" t="s">
        <v>86</v>
      </c>
      <c r="K83" t="s">
        <v>73</v>
      </c>
      <c r="L83">
        <v>1996</v>
      </c>
      <c r="M83" s="13">
        <v>1397</v>
      </c>
      <c r="N83" t="s">
        <v>74</v>
      </c>
      <c r="O83">
        <v>3</v>
      </c>
      <c r="P83">
        <v>7</v>
      </c>
      <c r="Q83">
        <v>3</v>
      </c>
      <c r="R83">
        <v>1</v>
      </c>
    </row>
    <row r="84" spans="1:18" x14ac:dyDescent="0.2">
      <c r="A84" t="s">
        <v>149</v>
      </c>
      <c r="B84" t="s">
        <v>249</v>
      </c>
      <c r="C84">
        <v>63011</v>
      </c>
      <c r="D84" s="1">
        <v>44222</v>
      </c>
      <c r="E84" s="10">
        <v>280000</v>
      </c>
      <c r="F84" s="11">
        <v>200.42</v>
      </c>
      <c r="G84" t="s">
        <v>71</v>
      </c>
      <c r="H84">
        <v>8.0299999999999996E-2</v>
      </c>
      <c r="I84" s="37">
        <v>2</v>
      </c>
      <c r="J84" t="s">
        <v>86</v>
      </c>
      <c r="K84" t="s">
        <v>73</v>
      </c>
      <c r="L84">
        <v>1996</v>
      </c>
      <c r="M84" s="13">
        <v>1397</v>
      </c>
      <c r="N84" t="s">
        <v>74</v>
      </c>
      <c r="O84">
        <v>3</v>
      </c>
      <c r="P84">
        <v>7</v>
      </c>
      <c r="Q84">
        <v>3</v>
      </c>
      <c r="R84">
        <v>1</v>
      </c>
    </row>
    <row r="85" spans="1:18" x14ac:dyDescent="0.2">
      <c r="A85" t="s">
        <v>150</v>
      </c>
      <c r="B85" t="s">
        <v>250</v>
      </c>
      <c r="C85">
        <v>63040</v>
      </c>
      <c r="D85" s="1">
        <v>43243</v>
      </c>
      <c r="E85" s="10">
        <v>420000</v>
      </c>
      <c r="F85" s="11">
        <v>203.48</v>
      </c>
      <c r="G85" t="s">
        <v>71</v>
      </c>
      <c r="H85">
        <v>0.13519999999999999</v>
      </c>
      <c r="I85" s="37">
        <v>1</v>
      </c>
      <c r="J85" t="s">
        <v>72</v>
      </c>
      <c r="K85" t="s">
        <v>73</v>
      </c>
      <c r="L85">
        <v>2014</v>
      </c>
      <c r="M85" s="13">
        <v>2064</v>
      </c>
      <c r="N85" t="s">
        <v>74</v>
      </c>
      <c r="O85">
        <v>2</v>
      </c>
      <c r="P85">
        <v>6</v>
      </c>
      <c r="Q85">
        <v>2</v>
      </c>
      <c r="R85">
        <v>0</v>
      </c>
    </row>
    <row r="86" spans="1:18" x14ac:dyDescent="0.2">
      <c r="A86" t="s">
        <v>151</v>
      </c>
      <c r="B86" t="s">
        <v>251</v>
      </c>
      <c r="C86">
        <v>63040</v>
      </c>
      <c r="D86" s="1">
        <v>43375</v>
      </c>
      <c r="E86" s="10">
        <v>355900</v>
      </c>
      <c r="F86" s="11">
        <v>241.61</v>
      </c>
      <c r="G86">
        <v>2</v>
      </c>
      <c r="H86">
        <v>0.1376</v>
      </c>
      <c r="I86" s="37">
        <v>1</v>
      </c>
      <c r="J86" t="s">
        <v>72</v>
      </c>
      <c r="K86" t="s">
        <v>73</v>
      </c>
      <c r="L86">
        <v>2015</v>
      </c>
      <c r="M86" s="13">
        <v>1473</v>
      </c>
      <c r="N86" t="s">
        <v>74</v>
      </c>
      <c r="O86">
        <v>2</v>
      </c>
      <c r="P86">
        <v>4</v>
      </c>
      <c r="Q86">
        <v>2</v>
      </c>
      <c r="R86">
        <v>0</v>
      </c>
    </row>
    <row r="87" spans="1:18" x14ac:dyDescent="0.2">
      <c r="A87" t="s">
        <v>152</v>
      </c>
      <c r="B87" t="s">
        <v>252</v>
      </c>
      <c r="C87">
        <v>63011</v>
      </c>
      <c r="D87" s="1">
        <v>43599</v>
      </c>
      <c r="E87" s="10">
        <v>232000</v>
      </c>
      <c r="F87" s="11">
        <v>183.83</v>
      </c>
      <c r="G87" t="s">
        <v>71</v>
      </c>
      <c r="H87">
        <v>8.0299999999999996E-2</v>
      </c>
      <c r="I87" s="37">
        <v>2</v>
      </c>
      <c r="J87" t="s">
        <v>86</v>
      </c>
      <c r="K87" t="s">
        <v>73</v>
      </c>
      <c r="L87">
        <v>1995</v>
      </c>
      <c r="M87" s="13">
        <v>1262</v>
      </c>
      <c r="N87" t="s">
        <v>74</v>
      </c>
      <c r="O87">
        <v>3</v>
      </c>
      <c r="P87">
        <v>7</v>
      </c>
      <c r="Q87">
        <v>2</v>
      </c>
      <c r="R87">
        <v>1</v>
      </c>
    </row>
    <row r="88" spans="1:18" x14ac:dyDescent="0.2">
      <c r="A88" t="s">
        <v>153</v>
      </c>
      <c r="B88" t="s">
        <v>253</v>
      </c>
      <c r="C88">
        <v>63011</v>
      </c>
      <c r="D88" s="1">
        <v>43699</v>
      </c>
      <c r="E88" s="10">
        <v>215000</v>
      </c>
      <c r="F88" s="11">
        <v>184.7</v>
      </c>
      <c r="G88" t="s">
        <v>71</v>
      </c>
      <c r="H88">
        <v>0.12429999999999999</v>
      </c>
      <c r="I88" s="37">
        <v>2</v>
      </c>
      <c r="J88" t="s">
        <v>86</v>
      </c>
      <c r="K88" t="s">
        <v>73</v>
      </c>
      <c r="L88">
        <v>1996</v>
      </c>
      <c r="M88" s="13">
        <v>1164</v>
      </c>
      <c r="N88" t="s">
        <v>74</v>
      </c>
      <c r="O88">
        <v>3</v>
      </c>
      <c r="P88">
        <v>6</v>
      </c>
      <c r="Q88">
        <v>2</v>
      </c>
      <c r="R88">
        <v>1</v>
      </c>
    </row>
    <row r="89" spans="1:18" x14ac:dyDescent="0.2">
      <c r="A89" t="s">
        <v>154</v>
      </c>
      <c r="B89" t="s">
        <v>254</v>
      </c>
      <c r="C89">
        <v>63040</v>
      </c>
      <c r="D89" s="1">
        <v>43854</v>
      </c>
      <c r="E89" s="10">
        <v>409900</v>
      </c>
      <c r="F89" s="11">
        <v>203.52</v>
      </c>
      <c r="G89" t="s">
        <v>71</v>
      </c>
      <c r="H89">
        <v>0.1152</v>
      </c>
      <c r="I89" s="37">
        <v>1</v>
      </c>
      <c r="J89" t="s">
        <v>72</v>
      </c>
      <c r="K89" t="s">
        <v>73</v>
      </c>
      <c r="L89">
        <v>2015</v>
      </c>
      <c r="M89" s="13">
        <v>2014</v>
      </c>
      <c r="N89" t="s">
        <v>74</v>
      </c>
      <c r="O89">
        <v>2</v>
      </c>
      <c r="P89">
        <v>6</v>
      </c>
      <c r="Q89">
        <v>3</v>
      </c>
      <c r="R89">
        <v>0</v>
      </c>
    </row>
    <row r="90" spans="1:18" x14ac:dyDescent="0.2">
      <c r="A90" t="s">
        <v>155</v>
      </c>
      <c r="B90" t="s">
        <v>255</v>
      </c>
      <c r="C90">
        <v>63011</v>
      </c>
      <c r="D90" s="1">
        <v>44053</v>
      </c>
      <c r="E90" s="10">
        <v>256500</v>
      </c>
      <c r="F90" s="11">
        <v>215.9</v>
      </c>
      <c r="G90" t="s">
        <v>71</v>
      </c>
      <c r="H90">
        <v>8.0299999999999996E-2</v>
      </c>
      <c r="I90" s="37">
        <v>2</v>
      </c>
      <c r="J90" t="s">
        <v>86</v>
      </c>
      <c r="K90" t="s">
        <v>73</v>
      </c>
      <c r="L90">
        <v>1996</v>
      </c>
      <c r="M90" s="13">
        <v>1188</v>
      </c>
      <c r="N90" t="s">
        <v>74</v>
      </c>
      <c r="O90">
        <v>3</v>
      </c>
      <c r="P90">
        <v>6</v>
      </c>
      <c r="Q90">
        <v>2</v>
      </c>
      <c r="R90">
        <v>1</v>
      </c>
    </row>
    <row r="91" spans="1:18" x14ac:dyDescent="0.2">
      <c r="A91" t="s">
        <v>156</v>
      </c>
      <c r="B91" t="s">
        <v>256</v>
      </c>
      <c r="C91">
        <v>63040</v>
      </c>
      <c r="D91" s="1">
        <v>44145</v>
      </c>
      <c r="E91" s="10">
        <v>425000</v>
      </c>
      <c r="F91" s="11">
        <v>171.37</v>
      </c>
      <c r="G91" t="s">
        <v>71</v>
      </c>
      <c r="H91">
        <v>0.109</v>
      </c>
      <c r="I91" s="37">
        <v>1</v>
      </c>
      <c r="J91" t="s">
        <v>72</v>
      </c>
      <c r="K91" t="s">
        <v>73</v>
      </c>
      <c r="L91">
        <v>2013</v>
      </c>
      <c r="M91" s="13">
        <v>2480</v>
      </c>
      <c r="N91" t="s">
        <v>74</v>
      </c>
      <c r="O91">
        <v>3</v>
      </c>
      <c r="P91">
        <v>7</v>
      </c>
      <c r="Q91">
        <v>3</v>
      </c>
      <c r="R91">
        <v>0</v>
      </c>
    </row>
    <row r="92" spans="1:18" x14ac:dyDescent="0.2">
      <c r="A92" t="s">
        <v>157</v>
      </c>
      <c r="B92" t="s">
        <v>257</v>
      </c>
      <c r="C92">
        <v>63040</v>
      </c>
      <c r="D92" s="1">
        <v>44188</v>
      </c>
      <c r="E92" s="10">
        <v>432500</v>
      </c>
      <c r="F92" s="11">
        <v>197.3</v>
      </c>
      <c r="G92" t="s">
        <v>71</v>
      </c>
      <c r="H92">
        <v>0.11899999999999999</v>
      </c>
      <c r="I92" s="37">
        <v>1</v>
      </c>
      <c r="J92" t="s">
        <v>72</v>
      </c>
      <c r="K92" t="s">
        <v>73</v>
      </c>
      <c r="L92">
        <v>2014</v>
      </c>
      <c r="M92" s="13">
        <v>2192</v>
      </c>
      <c r="N92" t="s">
        <v>74</v>
      </c>
      <c r="O92">
        <v>2</v>
      </c>
      <c r="P92">
        <v>6</v>
      </c>
      <c r="Q92">
        <v>2</v>
      </c>
      <c r="R92">
        <v>0</v>
      </c>
    </row>
    <row r="93" spans="1:18" x14ac:dyDescent="0.2">
      <c r="A93" t="s">
        <v>158</v>
      </c>
      <c r="B93" t="s">
        <v>258</v>
      </c>
      <c r="C93">
        <v>63011</v>
      </c>
      <c r="D93" s="1">
        <v>44196</v>
      </c>
      <c r="E93" s="10">
        <v>298000</v>
      </c>
      <c r="F93" s="11">
        <v>167.22</v>
      </c>
      <c r="G93" t="s">
        <v>71</v>
      </c>
      <c r="H93">
        <v>0.12570000000000001</v>
      </c>
      <c r="I93" s="37">
        <v>2</v>
      </c>
      <c r="J93" t="s">
        <v>86</v>
      </c>
      <c r="K93" t="s">
        <v>73</v>
      </c>
      <c r="L93">
        <v>1996</v>
      </c>
      <c r="M93" s="13">
        <v>1782</v>
      </c>
      <c r="N93" t="s">
        <v>74</v>
      </c>
      <c r="O93">
        <v>3</v>
      </c>
      <c r="P93">
        <v>7</v>
      </c>
      <c r="Q93">
        <v>2</v>
      </c>
      <c r="R93">
        <v>2</v>
      </c>
    </row>
    <row r="94" spans="1:18" x14ac:dyDescent="0.2">
      <c r="A94" t="s">
        <v>159</v>
      </c>
      <c r="C94">
        <v>63011</v>
      </c>
      <c r="D94" s="1">
        <v>43297</v>
      </c>
      <c r="E94" s="10">
        <v>269900</v>
      </c>
      <c r="F94" s="11">
        <v>150.61000000000001</v>
      </c>
      <c r="G94" t="s">
        <v>71</v>
      </c>
      <c r="H94">
        <v>0.16900000000000001</v>
      </c>
      <c r="I94" s="37">
        <v>2</v>
      </c>
      <c r="J94" t="s">
        <v>86</v>
      </c>
      <c r="K94" t="s">
        <v>73</v>
      </c>
      <c r="L94">
        <v>1996</v>
      </c>
      <c r="M94" s="13">
        <v>1792</v>
      </c>
      <c r="N94" t="s">
        <v>74</v>
      </c>
      <c r="O94">
        <v>3</v>
      </c>
      <c r="P94">
        <v>6</v>
      </c>
      <c r="Q94">
        <v>3</v>
      </c>
      <c r="R94">
        <v>1</v>
      </c>
    </row>
    <row r="95" spans="1:18" x14ac:dyDescent="0.2">
      <c r="A95" t="s">
        <v>160</v>
      </c>
      <c r="C95">
        <v>63040</v>
      </c>
      <c r="D95" s="1">
        <v>44195</v>
      </c>
      <c r="E95" s="10">
        <v>425000</v>
      </c>
      <c r="F95" s="11">
        <v>154.71</v>
      </c>
      <c r="G95">
        <v>2</v>
      </c>
      <c r="H95">
        <v>0.1103</v>
      </c>
      <c r="I95" s="37">
        <v>1</v>
      </c>
      <c r="J95" t="s">
        <v>72</v>
      </c>
      <c r="K95" t="s">
        <v>73</v>
      </c>
      <c r="L95">
        <v>2007</v>
      </c>
      <c r="M95" s="13">
        <v>2747</v>
      </c>
      <c r="N95" t="s">
        <v>74</v>
      </c>
      <c r="O95">
        <v>2</v>
      </c>
      <c r="P95">
        <v>8</v>
      </c>
      <c r="Q95">
        <v>3</v>
      </c>
      <c r="R95">
        <v>0</v>
      </c>
    </row>
    <row r="96" spans="1:18" x14ac:dyDescent="0.2">
      <c r="A96" t="s">
        <v>161</v>
      </c>
      <c r="C96">
        <v>63040</v>
      </c>
      <c r="D96" s="1">
        <v>43689</v>
      </c>
      <c r="E96" s="10">
        <v>425000</v>
      </c>
      <c r="F96" s="11">
        <v>174.75</v>
      </c>
      <c r="G96">
        <v>2</v>
      </c>
      <c r="H96">
        <v>0.1348</v>
      </c>
      <c r="I96" s="37">
        <v>1</v>
      </c>
      <c r="J96" t="s">
        <v>72</v>
      </c>
      <c r="K96" t="s">
        <v>73</v>
      </c>
      <c r="L96">
        <v>2012</v>
      </c>
      <c r="M96" s="13">
        <v>2432</v>
      </c>
      <c r="N96" t="s">
        <v>74</v>
      </c>
      <c r="O96">
        <v>2</v>
      </c>
      <c r="P96">
        <v>6</v>
      </c>
      <c r="Q96">
        <v>3</v>
      </c>
      <c r="R96">
        <v>0</v>
      </c>
    </row>
    <row r="97" spans="1:18" x14ac:dyDescent="0.2">
      <c r="A97" t="s">
        <v>162</v>
      </c>
      <c r="C97">
        <v>63011</v>
      </c>
      <c r="D97" s="1">
        <v>43118</v>
      </c>
      <c r="E97" s="10">
        <v>262500</v>
      </c>
      <c r="F97" s="11">
        <v>108.38</v>
      </c>
      <c r="G97" t="s">
        <v>71</v>
      </c>
      <c r="H97">
        <v>0.1074</v>
      </c>
      <c r="I97" s="37">
        <v>1</v>
      </c>
      <c r="J97" t="s">
        <v>86</v>
      </c>
      <c r="K97" t="s">
        <v>73</v>
      </c>
      <c r="L97">
        <v>2002</v>
      </c>
      <c r="M97" s="13">
        <v>2422</v>
      </c>
      <c r="N97" t="s">
        <v>74</v>
      </c>
      <c r="O97">
        <v>3</v>
      </c>
      <c r="P97">
        <v>7</v>
      </c>
      <c r="Q97">
        <v>3</v>
      </c>
      <c r="R97">
        <v>0</v>
      </c>
    </row>
    <row r="98" spans="1:18" x14ac:dyDescent="0.2">
      <c r="A98" t="s">
        <v>162</v>
      </c>
      <c r="C98">
        <v>63011</v>
      </c>
      <c r="D98" s="1">
        <v>43390</v>
      </c>
      <c r="E98" s="10">
        <v>275000</v>
      </c>
      <c r="F98" s="11">
        <v>113.54</v>
      </c>
      <c r="G98" t="s">
        <v>71</v>
      </c>
      <c r="H98">
        <v>0.1074</v>
      </c>
      <c r="I98" s="37">
        <v>1</v>
      </c>
      <c r="J98" t="s">
        <v>86</v>
      </c>
      <c r="K98" t="s">
        <v>73</v>
      </c>
      <c r="L98">
        <v>2002</v>
      </c>
      <c r="M98" s="13">
        <v>2422</v>
      </c>
      <c r="N98" t="s">
        <v>74</v>
      </c>
      <c r="O98">
        <v>3</v>
      </c>
      <c r="P98">
        <v>7</v>
      </c>
      <c r="Q98">
        <v>3</v>
      </c>
      <c r="R98">
        <v>0</v>
      </c>
    </row>
    <row r="99" spans="1:18" x14ac:dyDescent="0.2">
      <c r="A99" t="s">
        <v>84</v>
      </c>
      <c r="B99" t="s">
        <v>185</v>
      </c>
      <c r="C99">
        <v>63040</v>
      </c>
      <c r="D99">
        <v>43266</v>
      </c>
      <c r="E99">
        <v>315000</v>
      </c>
      <c r="F99">
        <v>157.02000000000001</v>
      </c>
      <c r="G99" t="s">
        <v>71</v>
      </c>
      <c r="H99">
        <v>9.0499999999999997E-2</v>
      </c>
      <c r="I99" s="37">
        <v>2</v>
      </c>
      <c r="J99" t="s">
        <v>72</v>
      </c>
      <c r="K99" t="s">
        <v>73</v>
      </c>
      <c r="L99">
        <v>2013</v>
      </c>
      <c r="M99">
        <v>2006</v>
      </c>
      <c r="N99" t="s">
        <v>74</v>
      </c>
      <c r="O99">
        <v>3</v>
      </c>
      <c r="P99">
        <v>7</v>
      </c>
      <c r="Q99">
        <v>3</v>
      </c>
      <c r="R99">
        <v>0</v>
      </c>
    </row>
    <row r="100" spans="1:18" x14ac:dyDescent="0.2">
      <c r="A100" t="s">
        <v>79</v>
      </c>
      <c r="B100" t="s">
        <v>180</v>
      </c>
      <c r="C100">
        <v>63040</v>
      </c>
      <c r="D100">
        <v>44067</v>
      </c>
      <c r="E100">
        <v>310000</v>
      </c>
      <c r="F100">
        <v>155.46</v>
      </c>
      <c r="G100" t="s">
        <v>71</v>
      </c>
      <c r="H100">
        <v>9.7600000000000006E-2</v>
      </c>
      <c r="I100" s="37">
        <v>2</v>
      </c>
      <c r="J100" t="s">
        <v>72</v>
      </c>
      <c r="K100" t="s">
        <v>73</v>
      </c>
      <c r="L100">
        <v>2013</v>
      </c>
      <c r="M100">
        <v>1994</v>
      </c>
      <c r="N100" t="s">
        <v>74</v>
      </c>
      <c r="O100">
        <v>3</v>
      </c>
      <c r="P100">
        <v>6</v>
      </c>
      <c r="Q100">
        <v>2</v>
      </c>
      <c r="R100">
        <v>1</v>
      </c>
    </row>
    <row r="101" spans="1:18" x14ac:dyDescent="0.2">
      <c r="A101" t="s">
        <v>80</v>
      </c>
      <c r="B101" t="s">
        <v>181</v>
      </c>
      <c r="C101">
        <v>63040</v>
      </c>
      <c r="D101">
        <v>44074</v>
      </c>
      <c r="E101">
        <v>332500</v>
      </c>
      <c r="F101">
        <v>166.75</v>
      </c>
      <c r="G101" t="s">
        <v>71</v>
      </c>
      <c r="H101">
        <v>9.7799999999999998E-2</v>
      </c>
      <c r="I101" s="37">
        <v>2</v>
      </c>
      <c r="J101" t="s">
        <v>72</v>
      </c>
      <c r="K101" t="s">
        <v>73</v>
      </c>
      <c r="L101">
        <v>2013</v>
      </c>
      <c r="M101">
        <v>1994</v>
      </c>
      <c r="N101" t="s">
        <v>74</v>
      </c>
      <c r="O101">
        <v>3</v>
      </c>
      <c r="P101">
        <v>6</v>
      </c>
      <c r="Q101">
        <v>2</v>
      </c>
      <c r="R101">
        <v>1</v>
      </c>
    </row>
    <row r="102" spans="1:18" x14ac:dyDescent="0.2">
      <c r="A102" t="s">
        <v>75</v>
      </c>
      <c r="B102" t="s">
        <v>176</v>
      </c>
      <c r="C102">
        <v>63040</v>
      </c>
      <c r="D102">
        <v>43283</v>
      </c>
      <c r="E102">
        <v>252500</v>
      </c>
      <c r="F102">
        <v>144.12</v>
      </c>
      <c r="G102" t="s">
        <v>71</v>
      </c>
      <c r="H102">
        <v>9.8799999999999999E-2</v>
      </c>
      <c r="I102" s="37">
        <v>2</v>
      </c>
      <c r="J102" t="s">
        <v>72</v>
      </c>
      <c r="K102" t="s">
        <v>73</v>
      </c>
      <c r="L102">
        <v>2013</v>
      </c>
      <c r="M102">
        <v>1752</v>
      </c>
      <c r="N102" t="s">
        <v>74</v>
      </c>
      <c r="O102">
        <v>3</v>
      </c>
      <c r="P102">
        <v>6</v>
      </c>
      <c r="Q102">
        <v>2</v>
      </c>
      <c r="R102">
        <v>0</v>
      </c>
    </row>
    <row r="103" spans="1:18" x14ac:dyDescent="0.2">
      <c r="A103" t="s">
        <v>76</v>
      </c>
      <c r="B103" t="s">
        <v>177</v>
      </c>
      <c r="C103">
        <v>63040</v>
      </c>
      <c r="D103">
        <v>43654</v>
      </c>
      <c r="E103">
        <v>300000</v>
      </c>
      <c r="F103">
        <v>151.82</v>
      </c>
      <c r="G103">
        <v>2</v>
      </c>
      <c r="H103">
        <v>8.9399999999999993E-2</v>
      </c>
      <c r="I103" s="37">
        <v>2</v>
      </c>
      <c r="J103" t="s">
        <v>72</v>
      </c>
      <c r="K103" t="s">
        <v>73</v>
      </c>
      <c r="L103">
        <v>2013</v>
      </c>
      <c r="M103">
        <v>1976</v>
      </c>
      <c r="N103" t="s">
        <v>74</v>
      </c>
      <c r="O103">
        <v>3</v>
      </c>
      <c r="P103">
        <v>6</v>
      </c>
      <c r="Q103">
        <v>2</v>
      </c>
      <c r="R103">
        <v>1</v>
      </c>
    </row>
    <row r="104" spans="1:18" x14ac:dyDescent="0.2">
      <c r="A104" t="s">
        <v>77</v>
      </c>
      <c r="B104" t="s">
        <v>178</v>
      </c>
      <c r="C104">
        <v>63040</v>
      </c>
      <c r="D104">
        <v>43724</v>
      </c>
      <c r="E104">
        <v>287500</v>
      </c>
      <c r="F104">
        <v>163.72</v>
      </c>
      <c r="G104" t="s">
        <v>71</v>
      </c>
      <c r="H104">
        <v>9.5799999999999996E-2</v>
      </c>
      <c r="I104" s="37">
        <v>2</v>
      </c>
      <c r="J104" t="s">
        <v>72</v>
      </c>
      <c r="K104" t="s">
        <v>73</v>
      </c>
      <c r="L104">
        <v>2013</v>
      </c>
      <c r="M104">
        <v>1756</v>
      </c>
      <c r="N104" t="s">
        <v>74</v>
      </c>
      <c r="O104">
        <v>3</v>
      </c>
      <c r="P104">
        <v>6</v>
      </c>
      <c r="Q104">
        <v>2</v>
      </c>
      <c r="R104">
        <v>0</v>
      </c>
    </row>
    <row r="105" spans="1:18" x14ac:dyDescent="0.2">
      <c r="A105" t="s">
        <v>78</v>
      </c>
      <c r="B105" t="s">
        <v>179</v>
      </c>
      <c r="C105">
        <v>63040</v>
      </c>
      <c r="D105">
        <v>44007</v>
      </c>
      <c r="E105">
        <v>278000</v>
      </c>
      <c r="F105">
        <v>175.28</v>
      </c>
      <c r="G105" t="s">
        <v>71</v>
      </c>
      <c r="H105">
        <v>9.0300000000000005E-2</v>
      </c>
      <c r="I105" s="37">
        <v>2</v>
      </c>
      <c r="J105" t="s">
        <v>72</v>
      </c>
      <c r="K105" t="s">
        <v>73</v>
      </c>
      <c r="L105">
        <v>2013</v>
      </c>
      <c r="M105">
        <v>1586</v>
      </c>
      <c r="N105" t="s">
        <v>74</v>
      </c>
      <c r="O105">
        <v>3</v>
      </c>
      <c r="P105">
        <v>6</v>
      </c>
      <c r="Q105">
        <v>2</v>
      </c>
      <c r="R105">
        <v>0</v>
      </c>
    </row>
    <row r="106" spans="1:18" x14ac:dyDescent="0.2">
      <c r="A106" t="s">
        <v>76</v>
      </c>
      <c r="B106" t="s">
        <v>177</v>
      </c>
      <c r="C106">
        <v>63040</v>
      </c>
      <c r="D106">
        <v>44046</v>
      </c>
      <c r="E106">
        <v>299900</v>
      </c>
      <c r="F106">
        <v>151.77000000000001</v>
      </c>
      <c r="G106" t="s">
        <v>71</v>
      </c>
      <c r="H106">
        <v>8.9399999999999993E-2</v>
      </c>
      <c r="I106" s="37">
        <v>2</v>
      </c>
      <c r="J106" t="s">
        <v>72</v>
      </c>
      <c r="K106" t="s">
        <v>73</v>
      </c>
      <c r="L106">
        <v>2013</v>
      </c>
      <c r="M106">
        <v>1976</v>
      </c>
      <c r="N106" t="s">
        <v>74</v>
      </c>
      <c r="O106">
        <v>3</v>
      </c>
      <c r="P106">
        <v>6</v>
      </c>
      <c r="Q106">
        <v>2</v>
      </c>
      <c r="R106">
        <v>1</v>
      </c>
    </row>
    <row r="107" spans="1:18" x14ac:dyDescent="0.2">
      <c r="A107" t="s">
        <v>70</v>
      </c>
      <c r="B107" t="s">
        <v>175</v>
      </c>
      <c r="C107">
        <v>63040</v>
      </c>
      <c r="D107">
        <v>44056</v>
      </c>
      <c r="E107">
        <v>299000</v>
      </c>
      <c r="F107">
        <v>150.1</v>
      </c>
      <c r="G107" t="s">
        <v>71</v>
      </c>
      <c r="H107">
        <v>9.8299999999999998E-2</v>
      </c>
      <c r="I107" s="37">
        <v>2</v>
      </c>
      <c r="J107" t="s">
        <v>72</v>
      </c>
      <c r="K107" t="s">
        <v>73</v>
      </c>
      <c r="L107">
        <v>2013</v>
      </c>
      <c r="M107">
        <v>1992</v>
      </c>
      <c r="N107" t="s">
        <v>74</v>
      </c>
      <c r="O107">
        <v>3</v>
      </c>
      <c r="P107">
        <v>6</v>
      </c>
      <c r="Q107">
        <v>2</v>
      </c>
      <c r="R107">
        <v>1</v>
      </c>
    </row>
    <row r="108" spans="1:18" x14ac:dyDescent="0.2">
      <c r="A108" t="s">
        <v>83</v>
      </c>
      <c r="B108" t="s">
        <v>184</v>
      </c>
      <c r="C108">
        <v>63040</v>
      </c>
      <c r="D108">
        <v>44097</v>
      </c>
      <c r="E108">
        <v>325000</v>
      </c>
      <c r="F108">
        <v>134.07</v>
      </c>
      <c r="G108" t="s">
        <v>71</v>
      </c>
      <c r="H108">
        <v>0.112</v>
      </c>
      <c r="I108" s="37">
        <v>2</v>
      </c>
      <c r="J108" t="s">
        <v>72</v>
      </c>
      <c r="K108" t="s">
        <v>73</v>
      </c>
      <c r="L108">
        <v>2008</v>
      </c>
      <c r="M108">
        <v>2424</v>
      </c>
      <c r="N108" t="s">
        <v>74</v>
      </c>
      <c r="O108">
        <v>3</v>
      </c>
      <c r="P108">
        <v>8</v>
      </c>
      <c r="Q108">
        <v>2</v>
      </c>
      <c r="R108">
        <v>1</v>
      </c>
    </row>
    <row r="109" spans="1:18" x14ac:dyDescent="0.2">
      <c r="A109" t="s">
        <v>81</v>
      </c>
      <c r="B109" t="s">
        <v>182</v>
      </c>
      <c r="C109">
        <v>63040</v>
      </c>
      <c r="D109">
        <v>43613</v>
      </c>
      <c r="E109">
        <v>313500</v>
      </c>
      <c r="F109">
        <v>131.06</v>
      </c>
      <c r="G109" t="s">
        <v>71</v>
      </c>
      <c r="H109">
        <v>7.6899999999999996E-2</v>
      </c>
      <c r="I109" s="37">
        <v>2</v>
      </c>
      <c r="J109" t="s">
        <v>72</v>
      </c>
      <c r="K109" t="s">
        <v>73</v>
      </c>
      <c r="L109">
        <v>2013</v>
      </c>
      <c r="M109">
        <v>2392</v>
      </c>
      <c r="N109" t="s">
        <v>74</v>
      </c>
      <c r="O109">
        <v>3</v>
      </c>
      <c r="P109">
        <v>7</v>
      </c>
      <c r="Q109">
        <v>2</v>
      </c>
      <c r="R109">
        <v>1</v>
      </c>
    </row>
    <row r="110" spans="1:18" x14ac:dyDescent="0.2">
      <c r="A110" t="s">
        <v>82</v>
      </c>
      <c r="B110" t="s">
        <v>183</v>
      </c>
      <c r="C110">
        <v>63040</v>
      </c>
      <c r="D110">
        <v>43648</v>
      </c>
      <c r="E110">
        <v>314000</v>
      </c>
      <c r="F110">
        <v>157.63</v>
      </c>
      <c r="G110" t="s">
        <v>71</v>
      </c>
      <c r="H110">
        <v>8.9399999999999993E-2</v>
      </c>
      <c r="I110" s="37">
        <v>2</v>
      </c>
      <c r="J110" t="s">
        <v>72</v>
      </c>
      <c r="K110" t="s">
        <v>73</v>
      </c>
      <c r="L110">
        <v>2013</v>
      </c>
      <c r="M110">
        <v>1992</v>
      </c>
      <c r="N110" t="s">
        <v>74</v>
      </c>
      <c r="O110">
        <v>3</v>
      </c>
      <c r="P110">
        <v>6</v>
      </c>
      <c r="Q110">
        <v>2</v>
      </c>
      <c r="R110">
        <v>1</v>
      </c>
    </row>
    <row r="111" spans="1:18" x14ac:dyDescent="0.2">
      <c r="A111" t="s">
        <v>85</v>
      </c>
      <c r="B111" t="s">
        <v>186</v>
      </c>
      <c r="C111">
        <v>63040</v>
      </c>
      <c r="D111">
        <v>43343</v>
      </c>
      <c r="E111">
        <v>179900</v>
      </c>
      <c r="F111">
        <v>163.99</v>
      </c>
      <c r="G111" t="s">
        <v>71</v>
      </c>
      <c r="H111">
        <v>9.9199999999999997E-2</v>
      </c>
      <c r="I111" s="37">
        <v>1</v>
      </c>
      <c r="J111" t="s">
        <v>86</v>
      </c>
      <c r="K111" t="s">
        <v>73</v>
      </c>
      <c r="L111">
        <v>1988</v>
      </c>
      <c r="M111">
        <v>1097</v>
      </c>
      <c r="N111" t="s">
        <v>74</v>
      </c>
      <c r="O111">
        <v>2</v>
      </c>
      <c r="P111">
        <v>5</v>
      </c>
      <c r="Q111">
        <v>2</v>
      </c>
      <c r="R111">
        <v>0</v>
      </c>
    </row>
    <row r="112" spans="1:18" x14ac:dyDescent="0.2">
      <c r="A112" t="s">
        <v>89</v>
      </c>
      <c r="B112" t="s">
        <v>189</v>
      </c>
      <c r="C112">
        <v>63040</v>
      </c>
      <c r="D112">
        <v>43938</v>
      </c>
      <c r="E112">
        <v>186000</v>
      </c>
      <c r="F112">
        <v>169.55</v>
      </c>
      <c r="G112" t="s">
        <v>71</v>
      </c>
      <c r="H112">
        <v>9.6000000000000002E-2</v>
      </c>
      <c r="I112" s="37">
        <v>1</v>
      </c>
      <c r="J112" t="s">
        <v>86</v>
      </c>
      <c r="K112" t="s">
        <v>73</v>
      </c>
      <c r="L112">
        <v>1989</v>
      </c>
      <c r="M112">
        <v>1097</v>
      </c>
      <c r="N112" t="s">
        <v>74</v>
      </c>
      <c r="O112">
        <v>2</v>
      </c>
      <c r="P112">
        <v>5</v>
      </c>
      <c r="Q112">
        <v>2</v>
      </c>
      <c r="R112">
        <v>0</v>
      </c>
    </row>
    <row r="113" spans="1:18" x14ac:dyDescent="0.2">
      <c r="A113" t="s">
        <v>87</v>
      </c>
      <c r="B113" t="s">
        <v>187</v>
      </c>
      <c r="C113">
        <v>63040</v>
      </c>
      <c r="D113">
        <v>43237</v>
      </c>
      <c r="E113">
        <v>146500</v>
      </c>
      <c r="F113">
        <v>125.64</v>
      </c>
      <c r="G113" t="s">
        <v>71</v>
      </c>
      <c r="H113">
        <v>5.67E-2</v>
      </c>
      <c r="I113" s="37">
        <v>2</v>
      </c>
      <c r="J113" t="s">
        <v>86</v>
      </c>
      <c r="K113" t="s">
        <v>73</v>
      </c>
      <c r="L113">
        <v>1994</v>
      </c>
      <c r="M113">
        <v>1166</v>
      </c>
      <c r="N113" t="s">
        <v>74</v>
      </c>
      <c r="O113">
        <v>2</v>
      </c>
      <c r="P113">
        <v>5</v>
      </c>
      <c r="Q113">
        <v>1</v>
      </c>
      <c r="R113">
        <v>1</v>
      </c>
    </row>
    <row r="114" spans="1:18" x14ac:dyDescent="0.2">
      <c r="A114" t="s">
        <v>88</v>
      </c>
      <c r="B114" t="s">
        <v>188</v>
      </c>
      <c r="C114">
        <v>63040</v>
      </c>
      <c r="D114">
        <v>43494</v>
      </c>
      <c r="E114">
        <v>190000</v>
      </c>
      <c r="F114">
        <v>162.94999999999999</v>
      </c>
      <c r="G114" t="s">
        <v>71</v>
      </c>
      <c r="H114">
        <v>6.2300000000000001E-2</v>
      </c>
      <c r="I114" s="37">
        <v>2</v>
      </c>
      <c r="J114" t="s">
        <v>86</v>
      </c>
      <c r="K114" t="s">
        <v>73</v>
      </c>
      <c r="L114">
        <v>1994</v>
      </c>
      <c r="M114">
        <v>1166</v>
      </c>
      <c r="N114" t="s">
        <v>74</v>
      </c>
      <c r="O114">
        <v>2</v>
      </c>
      <c r="P114">
        <v>6</v>
      </c>
      <c r="Q114">
        <v>2</v>
      </c>
      <c r="R114">
        <v>1</v>
      </c>
    </row>
    <row r="115" spans="1:18" x14ac:dyDescent="0.2">
      <c r="A115" t="s">
        <v>92</v>
      </c>
      <c r="B115" t="s">
        <v>192</v>
      </c>
      <c r="C115">
        <v>63040</v>
      </c>
      <c r="D115">
        <v>43308</v>
      </c>
      <c r="E115">
        <v>166000</v>
      </c>
      <c r="F115">
        <v>153.69999999999999</v>
      </c>
      <c r="G115" t="s">
        <v>71</v>
      </c>
      <c r="H115">
        <v>7.5800000000000006E-2</v>
      </c>
      <c r="I115" s="37">
        <v>2</v>
      </c>
      <c r="J115" t="s">
        <v>86</v>
      </c>
      <c r="K115" t="s">
        <v>73</v>
      </c>
      <c r="L115">
        <v>1993</v>
      </c>
      <c r="M115">
        <v>1080</v>
      </c>
      <c r="N115" t="s">
        <v>74</v>
      </c>
      <c r="O115">
        <v>2</v>
      </c>
      <c r="P115">
        <v>5</v>
      </c>
      <c r="Q115">
        <v>1</v>
      </c>
      <c r="R115">
        <v>1</v>
      </c>
    </row>
    <row r="116" spans="1:18" x14ac:dyDescent="0.2">
      <c r="A116" t="s">
        <v>91</v>
      </c>
      <c r="B116" t="s">
        <v>191</v>
      </c>
      <c r="C116">
        <v>63040</v>
      </c>
      <c r="D116">
        <v>43605</v>
      </c>
      <c r="E116">
        <v>190000</v>
      </c>
      <c r="F116">
        <v>166.95</v>
      </c>
      <c r="G116" t="s">
        <v>71</v>
      </c>
      <c r="H116">
        <v>7.3700000000000002E-2</v>
      </c>
      <c r="I116" s="37">
        <v>2</v>
      </c>
      <c r="J116" t="s">
        <v>86</v>
      </c>
      <c r="K116" t="s">
        <v>73</v>
      </c>
      <c r="L116">
        <v>1994</v>
      </c>
      <c r="M116">
        <v>1138</v>
      </c>
      <c r="N116" t="s">
        <v>74</v>
      </c>
      <c r="O116">
        <v>2</v>
      </c>
      <c r="P116">
        <v>5</v>
      </c>
      <c r="Q116">
        <v>2</v>
      </c>
      <c r="R116">
        <v>0</v>
      </c>
    </row>
    <row r="117" spans="1:18" x14ac:dyDescent="0.2">
      <c r="A117" t="s">
        <v>94</v>
      </c>
      <c r="B117" t="s">
        <v>194</v>
      </c>
      <c r="C117">
        <v>63040</v>
      </c>
      <c r="D117">
        <v>43164</v>
      </c>
      <c r="E117">
        <v>178000</v>
      </c>
      <c r="F117">
        <v>146.38</v>
      </c>
      <c r="G117" t="s">
        <v>71</v>
      </c>
      <c r="H117">
        <v>9.9400000000000002E-2</v>
      </c>
      <c r="I117" s="37">
        <v>2</v>
      </c>
      <c r="J117" t="s">
        <v>86</v>
      </c>
      <c r="K117" t="s">
        <v>73</v>
      </c>
      <c r="L117">
        <v>1996</v>
      </c>
      <c r="M117">
        <v>1216</v>
      </c>
      <c r="N117" t="s">
        <v>74</v>
      </c>
      <c r="O117">
        <v>2</v>
      </c>
      <c r="P117">
        <v>6</v>
      </c>
      <c r="Q117">
        <v>2</v>
      </c>
      <c r="R117">
        <v>0</v>
      </c>
    </row>
    <row r="118" spans="1:18" x14ac:dyDescent="0.2">
      <c r="A118" t="s">
        <v>90</v>
      </c>
      <c r="B118" t="s">
        <v>190</v>
      </c>
      <c r="C118">
        <v>63040</v>
      </c>
      <c r="D118">
        <v>43325</v>
      </c>
      <c r="E118">
        <v>199900</v>
      </c>
      <c r="F118">
        <v>162.25</v>
      </c>
      <c r="G118" t="s">
        <v>71</v>
      </c>
      <c r="H118">
        <v>5.5399999999999998E-2</v>
      </c>
      <c r="I118" s="37">
        <v>2</v>
      </c>
      <c r="J118" t="s">
        <v>86</v>
      </c>
      <c r="K118" t="s">
        <v>73</v>
      </c>
      <c r="L118">
        <v>1987</v>
      </c>
      <c r="M118">
        <v>1232</v>
      </c>
      <c r="N118" t="s">
        <v>74</v>
      </c>
      <c r="O118">
        <v>2</v>
      </c>
      <c r="P118">
        <v>5</v>
      </c>
      <c r="Q118">
        <v>2</v>
      </c>
      <c r="R118">
        <v>1</v>
      </c>
    </row>
    <row r="119" spans="1:18" x14ac:dyDescent="0.2">
      <c r="A119" t="s">
        <v>96</v>
      </c>
      <c r="B119" t="s">
        <v>196</v>
      </c>
      <c r="C119">
        <v>63040</v>
      </c>
      <c r="D119">
        <v>43602</v>
      </c>
      <c r="E119">
        <v>199000</v>
      </c>
      <c r="F119">
        <v>161.52000000000001</v>
      </c>
      <c r="G119" t="s">
        <v>71</v>
      </c>
      <c r="H119">
        <v>5.5E-2</v>
      </c>
      <c r="I119" s="37">
        <v>2</v>
      </c>
      <c r="J119" t="s">
        <v>86</v>
      </c>
      <c r="K119" t="s">
        <v>73</v>
      </c>
      <c r="L119">
        <v>1986</v>
      </c>
      <c r="M119">
        <v>1232</v>
      </c>
      <c r="N119" t="s">
        <v>74</v>
      </c>
      <c r="O119">
        <v>2</v>
      </c>
      <c r="P119">
        <v>5</v>
      </c>
      <c r="Q119">
        <v>2</v>
      </c>
      <c r="R119">
        <v>1</v>
      </c>
    </row>
    <row r="120" spans="1:18" x14ac:dyDescent="0.2">
      <c r="A120" t="s">
        <v>93</v>
      </c>
      <c r="B120" t="s">
        <v>193</v>
      </c>
      <c r="C120">
        <v>63040</v>
      </c>
      <c r="D120">
        <v>43789</v>
      </c>
      <c r="E120">
        <v>200000</v>
      </c>
      <c r="F120">
        <v>160.25</v>
      </c>
      <c r="G120" t="s">
        <v>71</v>
      </c>
      <c r="H120">
        <v>4.41E-2</v>
      </c>
      <c r="I120" s="37">
        <v>2</v>
      </c>
      <c r="J120" t="s">
        <v>86</v>
      </c>
      <c r="K120" t="s">
        <v>73</v>
      </c>
      <c r="L120">
        <v>1987</v>
      </c>
      <c r="M120">
        <v>1248</v>
      </c>
      <c r="N120" t="s">
        <v>74</v>
      </c>
      <c r="O120">
        <v>2</v>
      </c>
      <c r="P120">
        <v>5</v>
      </c>
      <c r="Q120">
        <v>2</v>
      </c>
      <c r="R120">
        <v>1</v>
      </c>
    </row>
    <row r="121" spans="1:18" x14ac:dyDescent="0.2">
      <c r="A121" t="s">
        <v>95</v>
      </c>
      <c r="B121" t="s">
        <v>195</v>
      </c>
      <c r="C121">
        <v>63040</v>
      </c>
      <c r="D121">
        <v>43200</v>
      </c>
      <c r="E121">
        <v>165100</v>
      </c>
      <c r="F121">
        <v>132.29</v>
      </c>
      <c r="G121" t="s">
        <v>71</v>
      </c>
      <c r="H121">
        <v>4.41E-2</v>
      </c>
      <c r="I121" s="37">
        <v>2</v>
      </c>
      <c r="J121" t="s">
        <v>86</v>
      </c>
      <c r="K121" t="s">
        <v>73</v>
      </c>
      <c r="L121">
        <v>1987</v>
      </c>
      <c r="M121">
        <v>1248</v>
      </c>
      <c r="N121" t="s">
        <v>74</v>
      </c>
      <c r="O121">
        <v>2</v>
      </c>
      <c r="P121">
        <v>6</v>
      </c>
      <c r="Q121">
        <v>2</v>
      </c>
      <c r="R121">
        <v>1</v>
      </c>
    </row>
    <row r="122" spans="1:18" x14ac:dyDescent="0.2">
      <c r="A122" t="s">
        <v>97</v>
      </c>
      <c r="B122" t="s">
        <v>197</v>
      </c>
      <c r="C122">
        <v>63040</v>
      </c>
      <c r="D122">
        <v>43630</v>
      </c>
      <c r="E122">
        <v>183000</v>
      </c>
      <c r="F122">
        <v>148.53</v>
      </c>
      <c r="G122" t="s">
        <v>71</v>
      </c>
      <c r="H122">
        <v>5.5599999999999997E-2</v>
      </c>
      <c r="I122" s="37">
        <v>2</v>
      </c>
      <c r="J122" t="s">
        <v>86</v>
      </c>
      <c r="K122" t="s">
        <v>73</v>
      </c>
      <c r="L122">
        <v>1987</v>
      </c>
      <c r="M122">
        <v>1232</v>
      </c>
      <c r="N122" t="s">
        <v>74</v>
      </c>
      <c r="O122">
        <v>2</v>
      </c>
      <c r="P122">
        <v>5</v>
      </c>
      <c r="Q122">
        <v>2</v>
      </c>
      <c r="R122">
        <v>1</v>
      </c>
    </row>
    <row r="123" spans="1:18" x14ac:dyDescent="0.2">
      <c r="A123" t="s">
        <v>98</v>
      </c>
      <c r="B123" t="s">
        <v>198</v>
      </c>
      <c r="C123">
        <v>63040</v>
      </c>
      <c r="D123">
        <v>43819</v>
      </c>
      <c r="E123">
        <v>193000</v>
      </c>
      <c r="F123">
        <v>175.93</v>
      </c>
      <c r="G123" t="s">
        <v>71</v>
      </c>
      <c r="H123">
        <v>7.0900000000000005E-2</v>
      </c>
      <c r="I123" s="37">
        <v>1</v>
      </c>
      <c r="J123" t="s">
        <v>86</v>
      </c>
      <c r="K123" t="s">
        <v>73</v>
      </c>
      <c r="L123">
        <v>1987</v>
      </c>
      <c r="M123">
        <v>1097</v>
      </c>
      <c r="N123" t="s">
        <v>74</v>
      </c>
      <c r="O123">
        <v>2</v>
      </c>
      <c r="P123">
        <v>7</v>
      </c>
      <c r="Q123">
        <v>2</v>
      </c>
      <c r="R123">
        <v>1</v>
      </c>
    </row>
    <row r="124" spans="1:18" x14ac:dyDescent="0.2">
      <c r="A124" t="s">
        <v>99</v>
      </c>
      <c r="B124" t="s">
        <v>199</v>
      </c>
      <c r="C124">
        <v>63040</v>
      </c>
      <c r="D124">
        <v>44110</v>
      </c>
      <c r="E124">
        <v>185000</v>
      </c>
      <c r="F124">
        <v>150.16</v>
      </c>
      <c r="G124" t="s">
        <v>71</v>
      </c>
      <c r="H124">
        <v>5.4100000000000002E-2</v>
      </c>
      <c r="I124" s="37">
        <v>2</v>
      </c>
      <c r="J124" t="s">
        <v>86</v>
      </c>
      <c r="K124" t="s">
        <v>73</v>
      </c>
      <c r="L124">
        <v>1987</v>
      </c>
      <c r="M124">
        <v>1232</v>
      </c>
      <c r="N124" t="s">
        <v>74</v>
      </c>
      <c r="O124">
        <v>2</v>
      </c>
      <c r="P124">
        <v>5</v>
      </c>
      <c r="Q124">
        <v>2</v>
      </c>
      <c r="R124">
        <v>1</v>
      </c>
    </row>
    <row r="125" spans="1:18" x14ac:dyDescent="0.2">
      <c r="A125" t="s">
        <v>100</v>
      </c>
      <c r="B125" t="s">
        <v>200</v>
      </c>
      <c r="C125">
        <v>63040</v>
      </c>
      <c r="D125">
        <v>44230</v>
      </c>
      <c r="E125">
        <v>174900</v>
      </c>
      <c r="F125">
        <v>140.13999999999999</v>
      </c>
      <c r="G125" t="s">
        <v>71</v>
      </c>
      <c r="H125">
        <v>5.6099999999999997E-2</v>
      </c>
      <c r="I125" s="37">
        <v>2</v>
      </c>
      <c r="J125" t="s">
        <v>86</v>
      </c>
      <c r="K125" t="s">
        <v>73</v>
      </c>
      <c r="L125">
        <v>1987</v>
      </c>
      <c r="M125">
        <v>1248</v>
      </c>
      <c r="N125" t="s">
        <v>74</v>
      </c>
      <c r="O125">
        <v>2</v>
      </c>
      <c r="P125">
        <v>6</v>
      </c>
      <c r="Q125">
        <v>2</v>
      </c>
      <c r="R125">
        <v>1</v>
      </c>
    </row>
    <row r="126" spans="1:18" x14ac:dyDescent="0.2">
      <c r="A126" t="s">
        <v>101</v>
      </c>
      <c r="B126" t="s">
        <v>201</v>
      </c>
      <c r="C126">
        <v>63040</v>
      </c>
      <c r="D126">
        <v>43493</v>
      </c>
      <c r="E126">
        <v>179000</v>
      </c>
      <c r="F126">
        <v>132.59</v>
      </c>
      <c r="G126" t="s">
        <v>71</v>
      </c>
      <c r="H126">
        <v>6.3899999999999998E-2</v>
      </c>
      <c r="I126" s="37">
        <v>2</v>
      </c>
      <c r="J126" t="s">
        <v>86</v>
      </c>
      <c r="K126" t="s">
        <v>73</v>
      </c>
      <c r="L126">
        <v>1996</v>
      </c>
      <c r="M126">
        <v>1350</v>
      </c>
      <c r="N126" t="s">
        <v>74</v>
      </c>
      <c r="O126">
        <v>3</v>
      </c>
      <c r="P126">
        <v>6</v>
      </c>
      <c r="Q126">
        <v>2</v>
      </c>
      <c r="R126">
        <v>0</v>
      </c>
    </row>
    <row r="127" spans="1:18" x14ac:dyDescent="0.2">
      <c r="A127" t="s">
        <v>102</v>
      </c>
      <c r="B127" t="s">
        <v>202</v>
      </c>
      <c r="C127">
        <v>63040</v>
      </c>
      <c r="D127">
        <v>43837</v>
      </c>
      <c r="E127">
        <v>275000</v>
      </c>
      <c r="F127">
        <v>180.44</v>
      </c>
      <c r="G127" t="s">
        <v>71</v>
      </c>
      <c r="H127">
        <v>8.5400000000000004E-2</v>
      </c>
      <c r="I127" s="37">
        <v>2</v>
      </c>
      <c r="J127" t="s">
        <v>103</v>
      </c>
      <c r="K127" t="s">
        <v>73</v>
      </c>
      <c r="L127">
        <v>2016</v>
      </c>
      <c r="M127">
        <v>1524</v>
      </c>
      <c r="N127" t="s">
        <v>74</v>
      </c>
      <c r="O127">
        <v>2</v>
      </c>
      <c r="P127">
        <v>6</v>
      </c>
      <c r="Q127">
        <v>2</v>
      </c>
      <c r="R127">
        <v>1</v>
      </c>
    </row>
    <row r="128" spans="1:18" x14ac:dyDescent="0.2">
      <c r="A128" t="s">
        <v>104</v>
      </c>
      <c r="B128" t="s">
        <v>203</v>
      </c>
      <c r="C128">
        <v>63040</v>
      </c>
      <c r="D128">
        <v>43390</v>
      </c>
      <c r="E128">
        <v>267900</v>
      </c>
      <c r="F128">
        <v>175.78</v>
      </c>
      <c r="G128" t="s">
        <v>71</v>
      </c>
      <c r="H128">
        <v>7.0699999999999999E-2</v>
      </c>
      <c r="I128" s="37">
        <v>2</v>
      </c>
      <c r="J128" t="s">
        <v>103</v>
      </c>
      <c r="K128" t="s">
        <v>73</v>
      </c>
      <c r="L128">
        <v>2016</v>
      </c>
      <c r="M128">
        <v>1524</v>
      </c>
      <c r="N128" t="s">
        <v>74</v>
      </c>
      <c r="O128">
        <v>2</v>
      </c>
      <c r="P128">
        <v>6</v>
      </c>
      <c r="Q128">
        <v>2</v>
      </c>
      <c r="R128">
        <v>1</v>
      </c>
    </row>
    <row r="129" spans="1:18" x14ac:dyDescent="0.2">
      <c r="A129" t="s">
        <v>105</v>
      </c>
      <c r="B129" t="s">
        <v>263</v>
      </c>
      <c r="C129">
        <v>63040</v>
      </c>
      <c r="D129">
        <v>43236</v>
      </c>
      <c r="E129">
        <v>296000</v>
      </c>
      <c r="F129">
        <v>148.59</v>
      </c>
      <c r="G129" t="s">
        <v>71</v>
      </c>
      <c r="H129">
        <v>7.0699999999999999E-2</v>
      </c>
      <c r="I129" s="37">
        <v>2</v>
      </c>
      <c r="J129" t="s">
        <v>103</v>
      </c>
      <c r="K129" t="s">
        <v>73</v>
      </c>
      <c r="L129">
        <v>2016</v>
      </c>
      <c r="M129">
        <v>1992</v>
      </c>
      <c r="N129" t="s">
        <v>74</v>
      </c>
      <c r="O129">
        <v>3</v>
      </c>
      <c r="P129">
        <v>8</v>
      </c>
      <c r="Q129">
        <v>2</v>
      </c>
      <c r="R129">
        <v>1</v>
      </c>
    </row>
    <row r="130" spans="1:18" x14ac:dyDescent="0.2">
      <c r="A130" t="s">
        <v>105</v>
      </c>
      <c r="B130" t="s">
        <v>206</v>
      </c>
      <c r="C130">
        <v>63040</v>
      </c>
      <c r="D130">
        <v>43788</v>
      </c>
      <c r="E130">
        <v>312000</v>
      </c>
      <c r="F130">
        <v>156.62</v>
      </c>
      <c r="G130" t="s">
        <v>71</v>
      </c>
      <c r="H130">
        <v>7.0699999999999999E-2</v>
      </c>
      <c r="I130" s="37">
        <v>2</v>
      </c>
      <c r="J130" t="s">
        <v>103</v>
      </c>
      <c r="K130" t="s">
        <v>73</v>
      </c>
      <c r="L130">
        <v>2016</v>
      </c>
      <c r="M130">
        <v>1992</v>
      </c>
      <c r="N130" t="s">
        <v>74</v>
      </c>
      <c r="O130">
        <v>3</v>
      </c>
      <c r="P130">
        <v>8</v>
      </c>
      <c r="Q130">
        <v>2</v>
      </c>
      <c r="R130">
        <v>1</v>
      </c>
    </row>
    <row r="131" spans="1:18" x14ac:dyDescent="0.2">
      <c r="A131" t="s">
        <v>107</v>
      </c>
      <c r="B131" t="s">
        <v>264</v>
      </c>
      <c r="C131">
        <v>63040</v>
      </c>
      <c r="D131">
        <v>43159</v>
      </c>
      <c r="E131">
        <v>274900</v>
      </c>
      <c r="F131">
        <v>143.62</v>
      </c>
      <c r="G131" t="s">
        <v>71</v>
      </c>
      <c r="H131">
        <v>7.1300000000000002E-2</v>
      </c>
      <c r="I131" s="37">
        <v>2</v>
      </c>
      <c r="J131" t="s">
        <v>103</v>
      </c>
      <c r="K131" t="s">
        <v>73</v>
      </c>
      <c r="L131">
        <v>2017</v>
      </c>
      <c r="M131">
        <v>1914</v>
      </c>
      <c r="N131" t="s">
        <v>74</v>
      </c>
      <c r="O131">
        <v>4</v>
      </c>
      <c r="P131">
        <v>7</v>
      </c>
      <c r="Q131">
        <v>2</v>
      </c>
      <c r="R131">
        <v>1</v>
      </c>
    </row>
    <row r="132" spans="1:18" x14ac:dyDescent="0.2">
      <c r="A132" t="s">
        <v>106</v>
      </c>
      <c r="B132" t="s">
        <v>265</v>
      </c>
      <c r="C132">
        <v>63040</v>
      </c>
      <c r="D132">
        <v>43406</v>
      </c>
      <c r="E132">
        <v>262750</v>
      </c>
      <c r="F132">
        <v>172.4</v>
      </c>
      <c r="G132" t="s">
        <v>71</v>
      </c>
      <c r="H132">
        <v>7.0699999999999999E-2</v>
      </c>
      <c r="I132" s="37">
        <v>2</v>
      </c>
      <c r="J132" t="s">
        <v>103</v>
      </c>
      <c r="K132" t="s">
        <v>73</v>
      </c>
      <c r="L132">
        <v>2016</v>
      </c>
      <c r="M132">
        <v>1524</v>
      </c>
      <c r="N132" t="s">
        <v>74</v>
      </c>
      <c r="O132">
        <v>2</v>
      </c>
      <c r="P132">
        <v>6</v>
      </c>
      <c r="Q132">
        <v>2</v>
      </c>
      <c r="R132">
        <v>1</v>
      </c>
    </row>
    <row r="133" spans="1:18" x14ac:dyDescent="0.2">
      <c r="A133" t="s">
        <v>111</v>
      </c>
      <c r="B133" t="s">
        <v>211</v>
      </c>
      <c r="C133">
        <v>63040</v>
      </c>
      <c r="D133">
        <v>43370</v>
      </c>
      <c r="E133">
        <v>230000</v>
      </c>
      <c r="F133">
        <v>152.11000000000001</v>
      </c>
      <c r="G133" t="s">
        <v>71</v>
      </c>
      <c r="H133">
        <v>6.8900000000000003E-2</v>
      </c>
      <c r="I133" s="37">
        <v>2</v>
      </c>
      <c r="J133" t="s">
        <v>103</v>
      </c>
      <c r="K133" t="s">
        <v>73</v>
      </c>
      <c r="L133">
        <v>2016</v>
      </c>
      <c r="M133">
        <v>1512</v>
      </c>
      <c r="N133" t="s">
        <v>74</v>
      </c>
      <c r="O133">
        <v>2</v>
      </c>
      <c r="P133">
        <v>5</v>
      </c>
      <c r="Q133">
        <v>2</v>
      </c>
      <c r="R133">
        <v>1</v>
      </c>
    </row>
    <row r="134" spans="1:18" x14ac:dyDescent="0.2">
      <c r="A134" t="s">
        <v>112</v>
      </c>
      <c r="B134" t="s">
        <v>266</v>
      </c>
      <c r="C134">
        <v>63040</v>
      </c>
      <c r="D134">
        <v>43483</v>
      </c>
      <c r="E134">
        <v>255000</v>
      </c>
      <c r="F134">
        <v>133.36000000000001</v>
      </c>
      <c r="G134" t="s">
        <v>71</v>
      </c>
      <c r="H134">
        <v>5.7000000000000002E-2</v>
      </c>
      <c r="I134" s="37">
        <v>2</v>
      </c>
      <c r="J134" t="s">
        <v>103</v>
      </c>
      <c r="K134" t="s">
        <v>73</v>
      </c>
      <c r="L134">
        <v>2016</v>
      </c>
      <c r="M134">
        <v>1912</v>
      </c>
      <c r="N134" t="s">
        <v>74</v>
      </c>
      <c r="O134">
        <v>2</v>
      </c>
      <c r="P134">
        <v>6</v>
      </c>
      <c r="Q134">
        <v>3</v>
      </c>
      <c r="R134">
        <v>1</v>
      </c>
    </row>
    <row r="135" spans="1:18" x14ac:dyDescent="0.2">
      <c r="A135" t="s">
        <v>108</v>
      </c>
      <c r="B135" t="s">
        <v>208</v>
      </c>
      <c r="C135">
        <v>63040</v>
      </c>
      <c r="D135">
        <v>44063</v>
      </c>
      <c r="E135">
        <v>337500</v>
      </c>
      <c r="F135">
        <v>168.75</v>
      </c>
      <c r="G135" t="s">
        <v>71</v>
      </c>
      <c r="H135">
        <v>7.2900000000000006E-2</v>
      </c>
      <c r="I135" s="37">
        <v>2</v>
      </c>
      <c r="J135" t="s">
        <v>103</v>
      </c>
      <c r="K135" t="s">
        <v>73</v>
      </c>
      <c r="L135">
        <v>2016</v>
      </c>
      <c r="M135">
        <v>2000</v>
      </c>
      <c r="N135" t="s">
        <v>74</v>
      </c>
      <c r="O135">
        <v>3</v>
      </c>
      <c r="P135">
        <v>6</v>
      </c>
      <c r="Q135">
        <v>2</v>
      </c>
      <c r="R135">
        <v>1</v>
      </c>
    </row>
    <row r="136" spans="1:18" x14ac:dyDescent="0.2">
      <c r="A136" t="s">
        <v>109</v>
      </c>
      <c r="B136" t="s">
        <v>209</v>
      </c>
      <c r="C136">
        <v>63040</v>
      </c>
      <c r="D136">
        <v>44180</v>
      </c>
      <c r="E136">
        <v>346000</v>
      </c>
      <c r="F136">
        <v>173.69</v>
      </c>
      <c r="G136" t="s">
        <v>71</v>
      </c>
      <c r="H136">
        <v>7.2900000000000006E-2</v>
      </c>
      <c r="I136" s="37">
        <v>2</v>
      </c>
      <c r="J136" t="s">
        <v>103</v>
      </c>
      <c r="K136" t="s">
        <v>73</v>
      </c>
      <c r="L136">
        <v>2016</v>
      </c>
      <c r="M136">
        <v>1992</v>
      </c>
      <c r="N136" t="s">
        <v>74</v>
      </c>
      <c r="O136">
        <v>3</v>
      </c>
      <c r="P136">
        <v>6</v>
      </c>
      <c r="Q136">
        <v>2</v>
      </c>
      <c r="R136">
        <v>1</v>
      </c>
    </row>
    <row r="137" spans="1:18" x14ac:dyDescent="0.2">
      <c r="A137" t="s">
        <v>110</v>
      </c>
      <c r="B137" t="s">
        <v>267</v>
      </c>
      <c r="C137">
        <v>63040</v>
      </c>
      <c r="D137">
        <v>43119</v>
      </c>
      <c r="E137">
        <v>300000</v>
      </c>
      <c r="F137">
        <v>150.6</v>
      </c>
      <c r="G137" t="s">
        <v>71</v>
      </c>
      <c r="H137">
        <v>7.0599999999999996E-2</v>
      </c>
      <c r="I137" s="37">
        <v>2</v>
      </c>
      <c r="J137" t="s">
        <v>103</v>
      </c>
      <c r="K137" t="s">
        <v>73</v>
      </c>
      <c r="L137">
        <v>2016</v>
      </c>
      <c r="M137">
        <v>1992</v>
      </c>
      <c r="N137" t="s">
        <v>74</v>
      </c>
      <c r="O137">
        <v>3</v>
      </c>
      <c r="P137">
        <v>6</v>
      </c>
      <c r="Q137">
        <v>2</v>
      </c>
      <c r="R137">
        <v>1</v>
      </c>
    </row>
    <row r="138" spans="1:18" x14ac:dyDescent="0.2">
      <c r="A138" t="s">
        <v>113</v>
      </c>
      <c r="B138" t="s">
        <v>268</v>
      </c>
      <c r="C138">
        <v>63040</v>
      </c>
      <c r="D138">
        <v>43664</v>
      </c>
      <c r="E138">
        <v>322500</v>
      </c>
      <c r="F138">
        <v>161.88999999999999</v>
      </c>
      <c r="G138" t="s">
        <v>71</v>
      </c>
      <c r="H138">
        <v>7.0599999999999996E-2</v>
      </c>
      <c r="I138" s="37">
        <v>2</v>
      </c>
      <c r="J138" t="s">
        <v>103</v>
      </c>
      <c r="K138" t="s">
        <v>73</v>
      </c>
      <c r="L138">
        <v>2016</v>
      </c>
      <c r="M138">
        <v>1992</v>
      </c>
      <c r="N138" t="s">
        <v>74</v>
      </c>
      <c r="O138">
        <v>3</v>
      </c>
      <c r="P138">
        <v>6</v>
      </c>
      <c r="Q138">
        <v>2</v>
      </c>
      <c r="R138">
        <v>1</v>
      </c>
    </row>
    <row r="139" spans="1:18" x14ac:dyDescent="0.2">
      <c r="A139" t="s">
        <v>116</v>
      </c>
      <c r="B139" t="s">
        <v>217</v>
      </c>
      <c r="C139">
        <v>63040</v>
      </c>
      <c r="D139">
        <v>43117</v>
      </c>
      <c r="E139">
        <v>220000</v>
      </c>
      <c r="F139">
        <v>123.87</v>
      </c>
      <c r="G139" t="s">
        <v>71</v>
      </c>
      <c r="H139">
        <v>3.2500000000000001E-2</v>
      </c>
      <c r="I139" s="37">
        <v>2</v>
      </c>
      <c r="J139" t="s">
        <v>103</v>
      </c>
      <c r="K139" t="s">
        <v>73</v>
      </c>
      <c r="L139">
        <v>2005</v>
      </c>
      <c r="M139">
        <v>1776</v>
      </c>
      <c r="N139" t="s">
        <v>74</v>
      </c>
      <c r="O139">
        <v>2</v>
      </c>
      <c r="P139">
        <v>5</v>
      </c>
      <c r="Q139">
        <v>2</v>
      </c>
      <c r="R139">
        <v>1</v>
      </c>
    </row>
    <row r="140" spans="1:18" x14ac:dyDescent="0.2">
      <c r="A140" t="s">
        <v>114</v>
      </c>
      <c r="B140" t="s">
        <v>214</v>
      </c>
      <c r="C140">
        <v>63040</v>
      </c>
      <c r="D140">
        <v>43193</v>
      </c>
      <c r="E140">
        <v>301136</v>
      </c>
      <c r="F140">
        <v>152.38999999999999</v>
      </c>
      <c r="G140" t="s">
        <v>71</v>
      </c>
      <c r="H140">
        <v>7.4300000000000005E-2</v>
      </c>
      <c r="I140" s="37">
        <v>2</v>
      </c>
      <c r="J140" t="s">
        <v>103</v>
      </c>
      <c r="K140" t="s">
        <v>73</v>
      </c>
      <c r="L140">
        <v>2018</v>
      </c>
      <c r="M140">
        <v>1976</v>
      </c>
      <c r="N140" t="s">
        <v>74</v>
      </c>
      <c r="O140">
        <v>3</v>
      </c>
      <c r="P140">
        <v>6</v>
      </c>
      <c r="Q140">
        <v>2</v>
      </c>
      <c r="R140">
        <v>1</v>
      </c>
    </row>
    <row r="141" spans="1:18" x14ac:dyDescent="0.2">
      <c r="A141" t="s">
        <v>115</v>
      </c>
      <c r="B141" t="s">
        <v>215</v>
      </c>
      <c r="C141">
        <v>63040</v>
      </c>
      <c r="D141">
        <v>43251</v>
      </c>
      <c r="E141">
        <v>223365</v>
      </c>
      <c r="F141">
        <v>143.18</v>
      </c>
      <c r="G141" t="s">
        <v>71</v>
      </c>
      <c r="H141">
        <v>5.0099999999999999E-2</v>
      </c>
      <c r="I141" s="37">
        <v>2</v>
      </c>
      <c r="J141" t="s">
        <v>103</v>
      </c>
      <c r="K141" t="s">
        <v>73</v>
      </c>
      <c r="L141">
        <v>2017</v>
      </c>
      <c r="M141">
        <v>1560</v>
      </c>
      <c r="N141" t="s">
        <v>74</v>
      </c>
      <c r="O141">
        <v>2</v>
      </c>
      <c r="P141">
        <v>4</v>
      </c>
      <c r="Q141">
        <v>2</v>
      </c>
      <c r="R141">
        <v>1</v>
      </c>
    </row>
    <row r="142" spans="1:18" x14ac:dyDescent="0.2">
      <c r="A142" t="s">
        <v>115</v>
      </c>
      <c r="B142" t="s">
        <v>215</v>
      </c>
      <c r="C142">
        <v>63040</v>
      </c>
      <c r="D142">
        <v>43293</v>
      </c>
      <c r="E142">
        <v>223365</v>
      </c>
      <c r="F142">
        <v>143.18</v>
      </c>
      <c r="G142">
        <v>4</v>
      </c>
      <c r="H142">
        <v>5.0099999999999999E-2</v>
      </c>
      <c r="I142" s="37">
        <v>2</v>
      </c>
      <c r="J142" t="s">
        <v>103</v>
      </c>
      <c r="K142" t="s">
        <v>73</v>
      </c>
      <c r="L142">
        <v>2017</v>
      </c>
      <c r="M142">
        <v>1560</v>
      </c>
      <c r="N142" t="s">
        <v>74</v>
      </c>
      <c r="O142">
        <v>2</v>
      </c>
      <c r="P142">
        <v>4</v>
      </c>
      <c r="Q142">
        <v>2</v>
      </c>
      <c r="R142">
        <v>1</v>
      </c>
    </row>
    <row r="143" spans="1:18" x14ac:dyDescent="0.2">
      <c r="A143" t="s">
        <v>115</v>
      </c>
      <c r="B143" t="s">
        <v>269</v>
      </c>
      <c r="C143">
        <v>63040</v>
      </c>
      <c r="D143">
        <v>43949</v>
      </c>
      <c r="E143">
        <v>258000</v>
      </c>
      <c r="F143">
        <v>165.38</v>
      </c>
      <c r="G143" t="s">
        <v>71</v>
      </c>
      <c r="H143">
        <v>5.0099999999999999E-2</v>
      </c>
      <c r="I143" s="37">
        <v>2</v>
      </c>
      <c r="J143" t="s">
        <v>103</v>
      </c>
      <c r="K143" t="s">
        <v>73</v>
      </c>
      <c r="L143">
        <v>2017</v>
      </c>
      <c r="M143">
        <v>1560</v>
      </c>
      <c r="N143" t="s">
        <v>74</v>
      </c>
      <c r="O143">
        <v>2</v>
      </c>
      <c r="P143">
        <v>4</v>
      </c>
      <c r="Q143">
        <v>2</v>
      </c>
      <c r="R143">
        <v>1</v>
      </c>
    </row>
    <row r="144" spans="1:18" x14ac:dyDescent="0.2">
      <c r="A144" t="s">
        <v>117</v>
      </c>
      <c r="B144" t="s">
        <v>218</v>
      </c>
      <c r="C144">
        <v>63040</v>
      </c>
      <c r="D144">
        <v>43252</v>
      </c>
      <c r="E144">
        <v>220000</v>
      </c>
      <c r="F144">
        <v>145.5</v>
      </c>
      <c r="G144" t="s">
        <v>71</v>
      </c>
      <c r="H144">
        <v>5.4199999999999998E-2</v>
      </c>
      <c r="I144" s="37">
        <v>2</v>
      </c>
      <c r="J144" t="s">
        <v>103</v>
      </c>
      <c r="K144" t="s">
        <v>73</v>
      </c>
      <c r="L144">
        <v>2018</v>
      </c>
      <c r="M144">
        <v>1512</v>
      </c>
      <c r="N144" t="s">
        <v>74</v>
      </c>
      <c r="O144">
        <v>3</v>
      </c>
      <c r="P144">
        <v>6</v>
      </c>
      <c r="Q144">
        <v>2</v>
      </c>
      <c r="R144">
        <v>1</v>
      </c>
    </row>
    <row r="145" spans="1:18" x14ac:dyDescent="0.2">
      <c r="A145" t="s">
        <v>118</v>
      </c>
      <c r="B145" t="s">
        <v>219</v>
      </c>
      <c r="C145">
        <v>63040</v>
      </c>
      <c r="D145">
        <v>43671</v>
      </c>
      <c r="E145">
        <v>205000</v>
      </c>
      <c r="F145">
        <v>158.16999999999999</v>
      </c>
      <c r="G145" t="s">
        <v>71</v>
      </c>
      <c r="H145">
        <v>5.0599999999999999E-2</v>
      </c>
      <c r="I145" s="37">
        <v>2</v>
      </c>
      <c r="J145" t="s">
        <v>103</v>
      </c>
      <c r="K145" t="s">
        <v>73</v>
      </c>
      <c r="L145">
        <v>2017</v>
      </c>
      <c r="M145">
        <v>1296</v>
      </c>
      <c r="N145" t="s">
        <v>74</v>
      </c>
      <c r="O145">
        <v>2</v>
      </c>
      <c r="P145">
        <v>5</v>
      </c>
      <c r="Q145">
        <v>2</v>
      </c>
      <c r="R145">
        <v>1</v>
      </c>
    </row>
    <row r="146" spans="1:18" x14ac:dyDescent="0.2">
      <c r="A146" t="s">
        <v>119</v>
      </c>
      <c r="B146" t="s">
        <v>220</v>
      </c>
      <c r="C146">
        <v>63040</v>
      </c>
      <c r="D146">
        <v>43228</v>
      </c>
      <c r="E146">
        <v>258000</v>
      </c>
      <c r="F146">
        <v>169.29</v>
      </c>
      <c r="G146" t="s">
        <v>71</v>
      </c>
      <c r="H146">
        <v>6.0999999999999999E-2</v>
      </c>
      <c r="I146" s="37">
        <v>2</v>
      </c>
      <c r="J146" t="s">
        <v>103</v>
      </c>
      <c r="K146" t="s">
        <v>73</v>
      </c>
      <c r="L146">
        <v>2018</v>
      </c>
      <c r="M146">
        <v>1524</v>
      </c>
      <c r="N146" t="s">
        <v>74</v>
      </c>
      <c r="O146">
        <v>3</v>
      </c>
      <c r="P146">
        <v>6</v>
      </c>
      <c r="Q146">
        <v>2</v>
      </c>
      <c r="R146">
        <v>1</v>
      </c>
    </row>
    <row r="147" spans="1:18" x14ac:dyDescent="0.2">
      <c r="A147" t="s">
        <v>120</v>
      </c>
      <c r="B147" t="s">
        <v>221</v>
      </c>
      <c r="C147">
        <v>63040</v>
      </c>
      <c r="D147">
        <v>43434</v>
      </c>
      <c r="E147">
        <v>235000</v>
      </c>
      <c r="F147">
        <v>183.59</v>
      </c>
      <c r="G147" t="s">
        <v>71</v>
      </c>
      <c r="H147">
        <v>5.16E-2</v>
      </c>
      <c r="I147" s="37">
        <v>2</v>
      </c>
      <c r="J147" t="s">
        <v>103</v>
      </c>
      <c r="K147" t="s">
        <v>73</v>
      </c>
      <c r="L147">
        <v>2017</v>
      </c>
      <c r="M147">
        <v>1280</v>
      </c>
      <c r="N147" t="s">
        <v>74</v>
      </c>
      <c r="O147">
        <v>2</v>
      </c>
      <c r="P147">
        <v>5</v>
      </c>
      <c r="Q147">
        <v>2</v>
      </c>
      <c r="R147">
        <v>1</v>
      </c>
    </row>
    <row r="148" spans="1:18" x14ac:dyDescent="0.2">
      <c r="A148" t="s">
        <v>121</v>
      </c>
      <c r="B148" t="s">
        <v>222</v>
      </c>
      <c r="C148">
        <v>63040</v>
      </c>
      <c r="D148">
        <v>43591</v>
      </c>
      <c r="E148">
        <v>271000</v>
      </c>
      <c r="F148">
        <v>179.23</v>
      </c>
      <c r="G148" t="s">
        <v>71</v>
      </c>
      <c r="H148">
        <v>7.1099999999999997E-2</v>
      </c>
      <c r="I148" s="37">
        <v>2</v>
      </c>
      <c r="J148" t="s">
        <v>103</v>
      </c>
      <c r="K148" t="s">
        <v>73</v>
      </c>
      <c r="L148">
        <v>2016</v>
      </c>
      <c r="M148">
        <v>1512</v>
      </c>
      <c r="N148" t="s">
        <v>74</v>
      </c>
      <c r="O148">
        <v>2</v>
      </c>
      <c r="P148">
        <v>6</v>
      </c>
      <c r="Q148">
        <v>2</v>
      </c>
      <c r="R148">
        <v>1</v>
      </c>
    </row>
    <row r="149" spans="1:18" x14ac:dyDescent="0.2">
      <c r="A149" t="s">
        <v>122</v>
      </c>
      <c r="B149" t="s">
        <v>223</v>
      </c>
      <c r="C149">
        <v>63040</v>
      </c>
      <c r="D149">
        <v>43605</v>
      </c>
      <c r="E149">
        <v>310000</v>
      </c>
      <c r="F149">
        <v>154.84</v>
      </c>
      <c r="G149" t="s">
        <v>71</v>
      </c>
      <c r="H149">
        <v>6.9199999999999998E-2</v>
      </c>
      <c r="I149" s="37">
        <v>2</v>
      </c>
      <c r="J149" t="s">
        <v>103</v>
      </c>
      <c r="K149" t="s">
        <v>73</v>
      </c>
      <c r="L149">
        <v>2016</v>
      </c>
      <c r="M149">
        <v>2002</v>
      </c>
      <c r="N149" t="s">
        <v>74</v>
      </c>
      <c r="O149">
        <v>3</v>
      </c>
      <c r="P149">
        <v>8</v>
      </c>
      <c r="Q149">
        <v>2</v>
      </c>
      <c r="R149">
        <v>1</v>
      </c>
    </row>
    <row r="150" spans="1:18" x14ac:dyDescent="0.2">
      <c r="A150" t="s">
        <v>123</v>
      </c>
      <c r="B150" t="s">
        <v>224</v>
      </c>
      <c r="C150">
        <v>63040</v>
      </c>
      <c r="D150">
        <v>43893</v>
      </c>
      <c r="E150">
        <v>234000</v>
      </c>
      <c r="F150">
        <v>122.38</v>
      </c>
      <c r="G150" t="s">
        <v>71</v>
      </c>
      <c r="H150">
        <v>5.0999999999999997E-2</v>
      </c>
      <c r="I150" s="37">
        <v>2</v>
      </c>
      <c r="J150" t="s">
        <v>103</v>
      </c>
      <c r="K150" t="s">
        <v>73</v>
      </c>
      <c r="L150">
        <v>2002</v>
      </c>
      <c r="M150">
        <v>1912</v>
      </c>
      <c r="N150" t="s">
        <v>74</v>
      </c>
      <c r="O150">
        <v>3</v>
      </c>
      <c r="P150">
        <v>5</v>
      </c>
      <c r="Q150">
        <v>3</v>
      </c>
      <c r="R150">
        <v>1</v>
      </c>
    </row>
    <row r="151" spans="1:18" x14ac:dyDescent="0.2">
      <c r="A151" t="s">
        <v>124</v>
      </c>
      <c r="B151" t="s">
        <v>225</v>
      </c>
      <c r="C151">
        <v>63040</v>
      </c>
      <c r="D151">
        <v>44064</v>
      </c>
      <c r="E151">
        <v>355000</v>
      </c>
      <c r="F151">
        <v>145.37</v>
      </c>
      <c r="G151" t="s">
        <v>71</v>
      </c>
      <c r="H151">
        <v>6.6699999999999995E-2</v>
      </c>
      <c r="I151" s="37">
        <v>2</v>
      </c>
      <c r="J151" t="s">
        <v>103</v>
      </c>
      <c r="K151" t="s">
        <v>73</v>
      </c>
      <c r="L151">
        <v>2016</v>
      </c>
      <c r="M151">
        <v>2442</v>
      </c>
      <c r="N151" t="s">
        <v>74</v>
      </c>
      <c r="O151">
        <v>3</v>
      </c>
      <c r="P151">
        <v>7</v>
      </c>
      <c r="Q151">
        <v>3</v>
      </c>
      <c r="R151">
        <v>1</v>
      </c>
    </row>
    <row r="152" spans="1:18" x14ac:dyDescent="0.2">
      <c r="A152" t="s">
        <v>125</v>
      </c>
      <c r="B152" t="s">
        <v>226</v>
      </c>
      <c r="C152">
        <v>63040</v>
      </c>
      <c r="D152">
        <v>43132</v>
      </c>
      <c r="E152">
        <v>280854</v>
      </c>
      <c r="F152">
        <v>216.7</v>
      </c>
      <c r="G152">
        <v>1</v>
      </c>
      <c r="H152">
        <v>5.16E-2</v>
      </c>
      <c r="I152" s="37">
        <v>2</v>
      </c>
      <c r="J152" t="s">
        <v>103</v>
      </c>
      <c r="K152" t="s">
        <v>73</v>
      </c>
      <c r="L152">
        <v>2017</v>
      </c>
      <c r="M152">
        <v>1296</v>
      </c>
      <c r="N152" t="s">
        <v>74</v>
      </c>
      <c r="O152">
        <v>2</v>
      </c>
      <c r="P152">
        <v>4</v>
      </c>
      <c r="Q152">
        <v>2</v>
      </c>
      <c r="R152">
        <v>1</v>
      </c>
    </row>
    <row r="153" spans="1:18" x14ac:dyDescent="0.2">
      <c r="A153" t="s">
        <v>125</v>
      </c>
      <c r="B153" t="s">
        <v>226</v>
      </c>
      <c r="C153">
        <v>63040</v>
      </c>
      <c r="D153">
        <v>43648</v>
      </c>
      <c r="E153">
        <v>210000</v>
      </c>
      <c r="F153">
        <v>162.03</v>
      </c>
      <c r="G153" t="s">
        <v>71</v>
      </c>
      <c r="H153">
        <v>5.16E-2</v>
      </c>
      <c r="I153" s="37">
        <v>2</v>
      </c>
      <c r="J153" t="s">
        <v>103</v>
      </c>
      <c r="K153" t="s">
        <v>73</v>
      </c>
      <c r="L153">
        <v>2017</v>
      </c>
      <c r="M153">
        <v>1296</v>
      </c>
      <c r="N153" t="s">
        <v>74</v>
      </c>
      <c r="O153">
        <v>2</v>
      </c>
      <c r="P153">
        <v>4</v>
      </c>
      <c r="Q153">
        <v>2</v>
      </c>
      <c r="R153">
        <v>1</v>
      </c>
    </row>
    <row r="154" spans="1:18" x14ac:dyDescent="0.2">
      <c r="A154" t="s">
        <v>126</v>
      </c>
      <c r="B154" t="s">
        <v>227</v>
      </c>
      <c r="C154">
        <v>63040</v>
      </c>
      <c r="D154">
        <v>43132</v>
      </c>
      <c r="E154">
        <v>280854</v>
      </c>
      <c r="F154">
        <v>219.41</v>
      </c>
      <c r="G154">
        <v>1</v>
      </c>
      <c r="H154">
        <v>5.45E-2</v>
      </c>
      <c r="I154" s="37">
        <v>2</v>
      </c>
      <c r="J154" t="s">
        <v>103</v>
      </c>
      <c r="K154" t="s">
        <v>73</v>
      </c>
      <c r="L154">
        <v>2017</v>
      </c>
      <c r="M154">
        <v>1280</v>
      </c>
      <c r="N154" t="s">
        <v>74</v>
      </c>
      <c r="O154">
        <v>2</v>
      </c>
      <c r="P154">
        <v>4</v>
      </c>
      <c r="Q154">
        <v>2</v>
      </c>
      <c r="R154">
        <v>1</v>
      </c>
    </row>
    <row r="155" spans="1:18" x14ac:dyDescent="0.2">
      <c r="A155" t="s">
        <v>126</v>
      </c>
      <c r="B155" t="s">
        <v>227</v>
      </c>
      <c r="C155">
        <v>63040</v>
      </c>
      <c r="D155">
        <v>43641</v>
      </c>
      <c r="E155">
        <v>216500</v>
      </c>
      <c r="F155">
        <v>169.14</v>
      </c>
      <c r="G155" t="s">
        <v>71</v>
      </c>
      <c r="H155">
        <v>5.45E-2</v>
      </c>
      <c r="I155" s="37">
        <v>2</v>
      </c>
      <c r="J155" t="s">
        <v>103</v>
      </c>
      <c r="K155" t="s">
        <v>73</v>
      </c>
      <c r="L155">
        <v>2017</v>
      </c>
      <c r="M155">
        <v>1280</v>
      </c>
      <c r="N155" t="s">
        <v>74</v>
      </c>
      <c r="O155">
        <v>2</v>
      </c>
      <c r="P155">
        <v>4</v>
      </c>
      <c r="Q155">
        <v>2</v>
      </c>
      <c r="R155">
        <v>1</v>
      </c>
    </row>
    <row r="156" spans="1:18" x14ac:dyDescent="0.2">
      <c r="A156" t="s">
        <v>126</v>
      </c>
      <c r="B156" t="s">
        <v>227</v>
      </c>
      <c r="C156">
        <v>63040</v>
      </c>
      <c r="D156">
        <v>44203</v>
      </c>
      <c r="E156">
        <v>219500</v>
      </c>
      <c r="F156">
        <v>171.48</v>
      </c>
      <c r="G156" t="s">
        <v>71</v>
      </c>
      <c r="H156">
        <v>5.45E-2</v>
      </c>
      <c r="I156" s="37">
        <v>2</v>
      </c>
      <c r="J156" t="s">
        <v>103</v>
      </c>
      <c r="K156" t="s">
        <v>73</v>
      </c>
      <c r="L156">
        <v>2017</v>
      </c>
      <c r="M156">
        <v>1280</v>
      </c>
      <c r="N156" t="s">
        <v>74</v>
      </c>
      <c r="O156">
        <v>2</v>
      </c>
      <c r="P156">
        <v>4</v>
      </c>
      <c r="Q156">
        <v>2</v>
      </c>
      <c r="R156">
        <v>1</v>
      </c>
    </row>
    <row r="157" spans="1:18" x14ac:dyDescent="0.2">
      <c r="A157" t="s">
        <v>128</v>
      </c>
      <c r="B157" t="s">
        <v>229</v>
      </c>
      <c r="C157">
        <v>63040</v>
      </c>
      <c r="D157">
        <v>44061</v>
      </c>
      <c r="E157">
        <v>255000</v>
      </c>
      <c r="F157">
        <v>143.9</v>
      </c>
      <c r="G157" t="s">
        <v>71</v>
      </c>
      <c r="H157">
        <v>5.0999999999999997E-2</v>
      </c>
      <c r="I157" s="37">
        <v>2</v>
      </c>
      <c r="J157" t="s">
        <v>103</v>
      </c>
      <c r="K157" t="s">
        <v>73</v>
      </c>
      <c r="L157">
        <v>2008</v>
      </c>
      <c r="M157">
        <v>1772</v>
      </c>
      <c r="N157" t="s">
        <v>74</v>
      </c>
      <c r="O157">
        <v>3</v>
      </c>
      <c r="P157">
        <v>6</v>
      </c>
      <c r="Q157">
        <v>2</v>
      </c>
      <c r="R157">
        <v>1</v>
      </c>
    </row>
    <row r="158" spans="1:18" x14ac:dyDescent="0.2">
      <c r="A158" t="s">
        <v>127</v>
      </c>
      <c r="B158" t="s">
        <v>228</v>
      </c>
      <c r="C158">
        <v>63040</v>
      </c>
      <c r="D158">
        <v>44061</v>
      </c>
      <c r="E158">
        <v>260000</v>
      </c>
      <c r="F158">
        <v>113.83</v>
      </c>
      <c r="G158" t="s">
        <v>71</v>
      </c>
      <c r="H158">
        <v>5.5E-2</v>
      </c>
      <c r="I158" s="37">
        <v>2</v>
      </c>
      <c r="J158" t="s">
        <v>103</v>
      </c>
      <c r="K158" t="s">
        <v>73</v>
      </c>
      <c r="L158">
        <v>2004</v>
      </c>
      <c r="M158">
        <v>2284</v>
      </c>
      <c r="N158" t="s">
        <v>74</v>
      </c>
      <c r="O158">
        <v>2</v>
      </c>
      <c r="P158">
        <v>8</v>
      </c>
      <c r="Q158">
        <v>2</v>
      </c>
      <c r="R158">
        <v>2</v>
      </c>
    </row>
    <row r="159" spans="1:18" x14ac:dyDescent="0.2">
      <c r="A159" t="s">
        <v>129</v>
      </c>
      <c r="B159" t="s">
        <v>270</v>
      </c>
      <c r="C159">
        <v>63040</v>
      </c>
      <c r="D159">
        <v>43319</v>
      </c>
      <c r="E159">
        <v>260000</v>
      </c>
      <c r="F159">
        <v>146.38999999999999</v>
      </c>
      <c r="G159" t="s">
        <v>71</v>
      </c>
      <c r="H159">
        <v>0.04</v>
      </c>
      <c r="I159" s="37">
        <v>2</v>
      </c>
      <c r="J159" t="s">
        <v>103</v>
      </c>
      <c r="K159" t="s">
        <v>73</v>
      </c>
      <c r="L159">
        <v>2007</v>
      </c>
      <c r="M159">
        <v>1776</v>
      </c>
      <c r="N159" t="s">
        <v>74</v>
      </c>
      <c r="O159">
        <v>2</v>
      </c>
      <c r="P159">
        <v>6</v>
      </c>
      <c r="Q159">
        <v>2</v>
      </c>
      <c r="R159">
        <v>1</v>
      </c>
    </row>
    <row r="160" spans="1:18" x14ac:dyDescent="0.2">
      <c r="A160" t="s">
        <v>141</v>
      </c>
      <c r="B160" t="s">
        <v>241</v>
      </c>
      <c r="C160">
        <v>63040</v>
      </c>
      <c r="D160">
        <v>43627</v>
      </c>
      <c r="E160">
        <v>408000</v>
      </c>
      <c r="F160">
        <v>219.11</v>
      </c>
      <c r="G160" t="s">
        <v>71</v>
      </c>
      <c r="H160">
        <v>0.114</v>
      </c>
      <c r="I160" s="37">
        <v>1</v>
      </c>
      <c r="J160" t="s">
        <v>72</v>
      </c>
      <c r="K160" t="s">
        <v>73</v>
      </c>
      <c r="L160">
        <v>2012</v>
      </c>
      <c r="M160">
        <v>1862</v>
      </c>
      <c r="N160" t="s">
        <v>74</v>
      </c>
      <c r="O160">
        <v>2</v>
      </c>
      <c r="P160">
        <v>6</v>
      </c>
      <c r="Q160">
        <v>2</v>
      </c>
      <c r="R160">
        <v>0</v>
      </c>
    </row>
    <row r="161" spans="1:18" x14ac:dyDescent="0.2">
      <c r="A161" t="s">
        <v>143</v>
      </c>
      <c r="B161" t="s">
        <v>243</v>
      </c>
      <c r="C161">
        <v>63040</v>
      </c>
      <c r="D161">
        <v>44218</v>
      </c>
      <c r="E161">
        <v>390000</v>
      </c>
      <c r="F161">
        <v>194.8</v>
      </c>
      <c r="G161" t="s">
        <v>71</v>
      </c>
      <c r="H161">
        <v>0.114</v>
      </c>
      <c r="I161" s="37">
        <v>1</v>
      </c>
      <c r="J161" t="s">
        <v>86</v>
      </c>
      <c r="K161" t="s">
        <v>73</v>
      </c>
      <c r="L161">
        <v>2012</v>
      </c>
      <c r="M161">
        <v>2002</v>
      </c>
      <c r="N161" t="s">
        <v>74</v>
      </c>
      <c r="O161">
        <v>2</v>
      </c>
      <c r="P161">
        <v>6</v>
      </c>
      <c r="Q161">
        <v>3</v>
      </c>
      <c r="R161">
        <v>0</v>
      </c>
    </row>
    <row r="162" spans="1:18" x14ac:dyDescent="0.2">
      <c r="A162" t="s">
        <v>130</v>
      </c>
      <c r="B162" t="s">
        <v>231</v>
      </c>
      <c r="C162">
        <v>63038</v>
      </c>
      <c r="D162">
        <v>43228</v>
      </c>
      <c r="E162">
        <v>221500</v>
      </c>
      <c r="F162">
        <v>138.94999999999999</v>
      </c>
      <c r="G162" t="s">
        <v>71</v>
      </c>
      <c r="H162">
        <v>8.3599999999999994E-2</v>
      </c>
      <c r="I162" s="37">
        <v>2</v>
      </c>
      <c r="J162" t="s">
        <v>86</v>
      </c>
      <c r="K162" t="s">
        <v>73</v>
      </c>
      <c r="L162">
        <v>1993</v>
      </c>
      <c r="M162">
        <v>1594</v>
      </c>
      <c r="N162" t="s">
        <v>74</v>
      </c>
      <c r="O162">
        <v>3</v>
      </c>
      <c r="P162">
        <v>5</v>
      </c>
      <c r="Q162">
        <v>2</v>
      </c>
      <c r="R162">
        <v>1</v>
      </c>
    </row>
    <row r="163" spans="1:18" x14ac:dyDescent="0.2">
      <c r="A163" t="s">
        <v>132</v>
      </c>
      <c r="B163" t="s">
        <v>233</v>
      </c>
      <c r="C163">
        <v>63038</v>
      </c>
      <c r="D163">
        <v>43465</v>
      </c>
      <c r="E163">
        <v>225000</v>
      </c>
      <c r="F163">
        <v>163.75</v>
      </c>
      <c r="G163" t="s">
        <v>133</v>
      </c>
      <c r="H163">
        <v>8.2600000000000007E-2</v>
      </c>
      <c r="I163" s="37">
        <v>2</v>
      </c>
      <c r="J163" t="s">
        <v>86</v>
      </c>
      <c r="K163" t="s">
        <v>73</v>
      </c>
      <c r="L163">
        <v>1993</v>
      </c>
      <c r="M163">
        <v>1374</v>
      </c>
      <c r="N163" t="s">
        <v>74</v>
      </c>
      <c r="O163">
        <v>3</v>
      </c>
      <c r="P163">
        <v>5</v>
      </c>
      <c r="Q163">
        <v>2</v>
      </c>
      <c r="R163">
        <v>1</v>
      </c>
    </row>
    <row r="164" spans="1:18" x14ac:dyDescent="0.2">
      <c r="A164" t="s">
        <v>131</v>
      </c>
      <c r="B164" t="s">
        <v>232</v>
      </c>
      <c r="C164">
        <v>63038</v>
      </c>
      <c r="D164">
        <v>44068</v>
      </c>
      <c r="E164">
        <v>259000</v>
      </c>
      <c r="F164">
        <v>177.88</v>
      </c>
      <c r="G164" t="s">
        <v>71</v>
      </c>
      <c r="H164">
        <v>8.2600000000000007E-2</v>
      </c>
      <c r="I164" s="37">
        <v>2</v>
      </c>
      <c r="J164" t="s">
        <v>86</v>
      </c>
      <c r="K164" t="s">
        <v>73</v>
      </c>
      <c r="L164">
        <v>1993</v>
      </c>
      <c r="M164">
        <v>1456</v>
      </c>
      <c r="N164" t="s">
        <v>74</v>
      </c>
      <c r="O164">
        <v>3</v>
      </c>
      <c r="P164">
        <v>5</v>
      </c>
      <c r="Q164">
        <v>2</v>
      </c>
      <c r="R164">
        <v>1</v>
      </c>
    </row>
    <row r="165" spans="1:18" x14ac:dyDescent="0.2">
      <c r="A165" t="s">
        <v>150</v>
      </c>
      <c r="B165" t="s">
        <v>250</v>
      </c>
      <c r="C165">
        <v>63040</v>
      </c>
      <c r="D165">
        <v>43243</v>
      </c>
      <c r="E165">
        <v>420000</v>
      </c>
      <c r="F165">
        <v>203.48</v>
      </c>
      <c r="G165" t="s">
        <v>71</v>
      </c>
      <c r="H165">
        <v>0.13519999999999999</v>
      </c>
      <c r="I165" s="37">
        <v>1</v>
      </c>
      <c r="J165" t="s">
        <v>72</v>
      </c>
      <c r="K165" t="s">
        <v>73</v>
      </c>
      <c r="L165">
        <v>2014</v>
      </c>
      <c r="M165">
        <v>2064</v>
      </c>
      <c r="N165" t="s">
        <v>74</v>
      </c>
      <c r="O165">
        <v>2</v>
      </c>
      <c r="P165">
        <v>6</v>
      </c>
      <c r="Q165">
        <v>2</v>
      </c>
      <c r="R165">
        <v>0</v>
      </c>
    </row>
    <row r="166" spans="1:18" x14ac:dyDescent="0.2">
      <c r="A166" t="s">
        <v>151</v>
      </c>
      <c r="B166" t="s">
        <v>251</v>
      </c>
      <c r="C166">
        <v>63040</v>
      </c>
      <c r="D166">
        <v>43375</v>
      </c>
      <c r="E166">
        <v>355900</v>
      </c>
      <c r="F166">
        <v>241.61</v>
      </c>
      <c r="G166">
        <v>2</v>
      </c>
      <c r="H166">
        <v>0.1376</v>
      </c>
      <c r="I166" s="37">
        <v>1</v>
      </c>
      <c r="J166" t="s">
        <v>72</v>
      </c>
      <c r="K166" t="s">
        <v>73</v>
      </c>
      <c r="L166">
        <v>2015</v>
      </c>
      <c r="M166">
        <v>1473</v>
      </c>
      <c r="N166" t="s">
        <v>74</v>
      </c>
      <c r="O166">
        <v>2</v>
      </c>
      <c r="P166">
        <v>4</v>
      </c>
      <c r="Q166">
        <v>2</v>
      </c>
      <c r="R166">
        <v>0</v>
      </c>
    </row>
    <row r="167" spans="1:18" x14ac:dyDescent="0.2">
      <c r="A167" t="s">
        <v>154</v>
      </c>
      <c r="B167" t="s">
        <v>254</v>
      </c>
      <c r="C167">
        <v>63040</v>
      </c>
      <c r="D167">
        <v>43854</v>
      </c>
      <c r="E167">
        <v>409900</v>
      </c>
      <c r="F167">
        <v>203.52</v>
      </c>
      <c r="G167" t="s">
        <v>71</v>
      </c>
      <c r="H167">
        <v>0.1152</v>
      </c>
      <c r="I167" s="37">
        <v>1</v>
      </c>
      <c r="J167" t="s">
        <v>72</v>
      </c>
      <c r="K167" t="s">
        <v>73</v>
      </c>
      <c r="L167">
        <v>2015</v>
      </c>
      <c r="M167">
        <v>2014</v>
      </c>
      <c r="N167" t="s">
        <v>74</v>
      </c>
      <c r="O167">
        <v>2</v>
      </c>
      <c r="P167">
        <v>6</v>
      </c>
      <c r="Q167">
        <v>3</v>
      </c>
      <c r="R167">
        <v>0</v>
      </c>
    </row>
    <row r="168" spans="1:18" x14ac:dyDescent="0.2">
      <c r="A168" t="s">
        <v>156</v>
      </c>
      <c r="B168" t="s">
        <v>256</v>
      </c>
      <c r="C168">
        <v>63040</v>
      </c>
      <c r="D168">
        <v>44145</v>
      </c>
      <c r="E168">
        <v>425000</v>
      </c>
      <c r="F168">
        <v>171.37</v>
      </c>
      <c r="G168" t="s">
        <v>71</v>
      </c>
      <c r="H168">
        <v>0.109</v>
      </c>
      <c r="I168" s="37">
        <v>1</v>
      </c>
      <c r="J168" t="s">
        <v>72</v>
      </c>
      <c r="K168" t="s">
        <v>73</v>
      </c>
      <c r="L168">
        <v>2013</v>
      </c>
      <c r="M168">
        <v>2480</v>
      </c>
      <c r="N168" t="s">
        <v>74</v>
      </c>
      <c r="O168">
        <v>3</v>
      </c>
      <c r="P168">
        <v>7</v>
      </c>
      <c r="Q168">
        <v>3</v>
      </c>
      <c r="R168">
        <v>0</v>
      </c>
    </row>
    <row r="169" spans="1:18" x14ac:dyDescent="0.2">
      <c r="A169" t="s">
        <v>157</v>
      </c>
      <c r="B169" t="s">
        <v>257</v>
      </c>
      <c r="C169">
        <v>63040</v>
      </c>
      <c r="D169">
        <v>44188</v>
      </c>
      <c r="E169">
        <v>432500</v>
      </c>
      <c r="F169">
        <v>197.3</v>
      </c>
      <c r="G169" t="s">
        <v>71</v>
      </c>
      <c r="H169">
        <v>0.11899999999999999</v>
      </c>
      <c r="I169" s="37">
        <v>1</v>
      </c>
      <c r="J169" t="s">
        <v>72</v>
      </c>
      <c r="K169" t="s">
        <v>73</v>
      </c>
      <c r="L169">
        <v>2014</v>
      </c>
      <c r="M169">
        <v>2192</v>
      </c>
      <c r="N169" t="s">
        <v>74</v>
      </c>
      <c r="O169">
        <v>2</v>
      </c>
      <c r="P169">
        <v>6</v>
      </c>
      <c r="Q169">
        <v>2</v>
      </c>
      <c r="R169">
        <v>0</v>
      </c>
    </row>
    <row r="170" spans="1:18" x14ac:dyDescent="0.2">
      <c r="A170" t="s">
        <v>134</v>
      </c>
      <c r="B170" t="s">
        <v>234</v>
      </c>
      <c r="C170">
        <v>63038</v>
      </c>
      <c r="D170">
        <v>43866</v>
      </c>
      <c r="E170">
        <v>196000</v>
      </c>
      <c r="F170">
        <v>127.85</v>
      </c>
      <c r="G170" t="s">
        <v>71</v>
      </c>
      <c r="H170">
        <v>8.1699999999999995E-2</v>
      </c>
      <c r="I170" s="37">
        <v>2</v>
      </c>
      <c r="J170" t="s">
        <v>86</v>
      </c>
      <c r="K170" t="s">
        <v>73</v>
      </c>
      <c r="L170">
        <v>1993</v>
      </c>
      <c r="M170">
        <v>1533</v>
      </c>
      <c r="N170" t="s">
        <v>74</v>
      </c>
      <c r="O170">
        <v>3</v>
      </c>
      <c r="P170">
        <v>5</v>
      </c>
      <c r="Q170">
        <v>2</v>
      </c>
      <c r="R170">
        <v>1</v>
      </c>
    </row>
    <row r="171" spans="1:18" x14ac:dyDescent="0.2">
      <c r="A171" t="s">
        <v>135</v>
      </c>
      <c r="B171" t="s">
        <v>235</v>
      </c>
      <c r="C171">
        <v>63038</v>
      </c>
      <c r="D171">
        <v>43171</v>
      </c>
      <c r="E171">
        <v>138840</v>
      </c>
      <c r="F171">
        <v>102.38</v>
      </c>
      <c r="G171">
        <v>5</v>
      </c>
      <c r="H171">
        <v>7.9500000000000001E-2</v>
      </c>
      <c r="I171" s="37">
        <v>2</v>
      </c>
      <c r="J171" t="s">
        <v>72</v>
      </c>
      <c r="K171" t="s">
        <v>73</v>
      </c>
      <c r="L171">
        <v>1993</v>
      </c>
      <c r="M171">
        <v>1356</v>
      </c>
      <c r="N171" t="s">
        <v>74</v>
      </c>
      <c r="O171">
        <v>3</v>
      </c>
      <c r="P171">
        <v>6</v>
      </c>
      <c r="Q171">
        <v>2</v>
      </c>
      <c r="R171">
        <v>1</v>
      </c>
    </row>
    <row r="172" spans="1:18" x14ac:dyDescent="0.2">
      <c r="A172" t="s">
        <v>135</v>
      </c>
      <c r="B172" t="s">
        <v>235</v>
      </c>
      <c r="C172">
        <v>63038</v>
      </c>
      <c r="D172">
        <v>43203</v>
      </c>
      <c r="E172">
        <v>139250</v>
      </c>
      <c r="F172">
        <v>102.69</v>
      </c>
      <c r="G172" t="s">
        <v>133</v>
      </c>
      <c r="H172">
        <v>7.9500000000000001E-2</v>
      </c>
      <c r="I172" s="37">
        <v>2</v>
      </c>
      <c r="J172" t="s">
        <v>72</v>
      </c>
      <c r="K172" t="s">
        <v>73</v>
      </c>
      <c r="L172">
        <v>1993</v>
      </c>
      <c r="M172">
        <v>1356</v>
      </c>
      <c r="N172" t="s">
        <v>74</v>
      </c>
      <c r="O172">
        <v>3</v>
      </c>
      <c r="P172">
        <v>6</v>
      </c>
      <c r="Q172">
        <v>2</v>
      </c>
      <c r="R172">
        <v>1</v>
      </c>
    </row>
    <row r="173" spans="1:18" x14ac:dyDescent="0.2">
      <c r="A173" t="s">
        <v>135</v>
      </c>
      <c r="B173" t="s">
        <v>235</v>
      </c>
      <c r="C173">
        <v>63038</v>
      </c>
      <c r="D173">
        <v>43357</v>
      </c>
      <c r="E173">
        <v>226000</v>
      </c>
      <c r="F173">
        <v>166.66</v>
      </c>
      <c r="G173" t="s">
        <v>71</v>
      </c>
      <c r="H173">
        <v>7.9500000000000001E-2</v>
      </c>
      <c r="I173" s="37">
        <v>2</v>
      </c>
      <c r="J173" t="s">
        <v>72</v>
      </c>
      <c r="K173" t="s">
        <v>73</v>
      </c>
      <c r="L173">
        <v>1993</v>
      </c>
      <c r="M173">
        <v>1356</v>
      </c>
      <c r="N173" t="s">
        <v>74</v>
      </c>
      <c r="O173">
        <v>3</v>
      </c>
      <c r="P173">
        <v>6</v>
      </c>
      <c r="Q173">
        <v>2</v>
      </c>
      <c r="R173">
        <v>1</v>
      </c>
    </row>
    <row r="174" spans="1:18" x14ac:dyDescent="0.2">
      <c r="A174" t="s">
        <v>136</v>
      </c>
      <c r="B174" t="s">
        <v>236</v>
      </c>
      <c r="C174">
        <v>63038</v>
      </c>
      <c r="D174">
        <v>43467</v>
      </c>
      <c r="E174">
        <v>194000</v>
      </c>
      <c r="F174">
        <v>214.12</v>
      </c>
      <c r="G174" t="s">
        <v>71</v>
      </c>
      <c r="H174">
        <v>9.0899999999999995E-2</v>
      </c>
      <c r="I174" s="37">
        <v>1</v>
      </c>
      <c r="J174" t="s">
        <v>86</v>
      </c>
      <c r="K174" t="s">
        <v>73</v>
      </c>
      <c r="L174">
        <v>1993</v>
      </c>
      <c r="M174">
        <v>906</v>
      </c>
      <c r="N174" t="s">
        <v>74</v>
      </c>
      <c r="O174">
        <v>2</v>
      </c>
      <c r="P174">
        <v>6</v>
      </c>
      <c r="Q174">
        <v>2</v>
      </c>
      <c r="R174">
        <v>0</v>
      </c>
    </row>
    <row r="175" spans="1:18" x14ac:dyDescent="0.2">
      <c r="A175" t="s">
        <v>137</v>
      </c>
      <c r="B175" t="s">
        <v>237</v>
      </c>
      <c r="C175">
        <v>63038</v>
      </c>
      <c r="D175">
        <v>44145</v>
      </c>
      <c r="E175">
        <v>240000</v>
      </c>
      <c r="F175">
        <v>136.05000000000001</v>
      </c>
      <c r="G175" t="s">
        <v>71</v>
      </c>
      <c r="H175">
        <v>8.0299999999999996E-2</v>
      </c>
      <c r="I175" s="37">
        <v>2</v>
      </c>
      <c r="J175" t="s">
        <v>86</v>
      </c>
      <c r="K175" t="s">
        <v>73</v>
      </c>
      <c r="L175">
        <v>1994</v>
      </c>
      <c r="M175">
        <v>1764</v>
      </c>
      <c r="N175" t="s">
        <v>74</v>
      </c>
      <c r="O175">
        <v>3</v>
      </c>
      <c r="P175">
        <v>6</v>
      </c>
      <c r="Q175">
        <v>3</v>
      </c>
      <c r="R175">
        <v>1</v>
      </c>
    </row>
    <row r="176" spans="1:18" x14ac:dyDescent="0.2">
      <c r="A176" t="s">
        <v>160</v>
      </c>
      <c r="B176" t="s">
        <v>271</v>
      </c>
      <c r="C176">
        <v>63040</v>
      </c>
      <c r="D176">
        <v>44195</v>
      </c>
      <c r="E176">
        <v>425000</v>
      </c>
      <c r="F176">
        <v>154.71</v>
      </c>
      <c r="G176">
        <v>2</v>
      </c>
      <c r="H176">
        <v>0.1103</v>
      </c>
      <c r="I176" s="37">
        <v>1</v>
      </c>
      <c r="J176" t="s">
        <v>72</v>
      </c>
      <c r="K176" t="s">
        <v>73</v>
      </c>
      <c r="L176">
        <v>2007</v>
      </c>
      <c r="M176">
        <v>2747</v>
      </c>
      <c r="N176" t="s">
        <v>74</v>
      </c>
      <c r="O176">
        <v>2</v>
      </c>
      <c r="P176">
        <v>8</v>
      </c>
      <c r="Q176">
        <v>3</v>
      </c>
      <c r="R176">
        <v>0</v>
      </c>
    </row>
    <row r="177" spans="1:18" x14ac:dyDescent="0.2">
      <c r="A177" t="s">
        <v>139</v>
      </c>
      <c r="B177" t="s">
        <v>239</v>
      </c>
      <c r="C177">
        <v>63038</v>
      </c>
      <c r="D177">
        <v>43438</v>
      </c>
      <c r="E177">
        <v>215000</v>
      </c>
      <c r="F177">
        <v>158.55000000000001</v>
      </c>
      <c r="G177" t="s">
        <v>71</v>
      </c>
      <c r="H177">
        <v>8.0299999999999996E-2</v>
      </c>
      <c r="I177" s="37">
        <v>2</v>
      </c>
      <c r="J177" t="s">
        <v>72</v>
      </c>
      <c r="K177" t="s">
        <v>73</v>
      </c>
      <c r="L177">
        <v>1993</v>
      </c>
      <c r="M177">
        <v>1356</v>
      </c>
      <c r="N177" t="s">
        <v>74</v>
      </c>
      <c r="O177">
        <v>3</v>
      </c>
      <c r="P177">
        <v>7</v>
      </c>
      <c r="Q177">
        <v>2</v>
      </c>
      <c r="R177">
        <v>1</v>
      </c>
    </row>
    <row r="178" spans="1:18" x14ac:dyDescent="0.2">
      <c r="A178" t="s">
        <v>138</v>
      </c>
      <c r="B178" t="s">
        <v>238</v>
      </c>
      <c r="C178">
        <v>63011</v>
      </c>
      <c r="D178">
        <v>43250</v>
      </c>
      <c r="E178">
        <v>215000</v>
      </c>
      <c r="F178">
        <v>151.62</v>
      </c>
      <c r="G178" t="s">
        <v>71</v>
      </c>
      <c r="H178">
        <v>0.1305</v>
      </c>
      <c r="I178" s="37">
        <v>2</v>
      </c>
      <c r="J178" t="s">
        <v>86</v>
      </c>
      <c r="K178" t="s">
        <v>73</v>
      </c>
      <c r="L178">
        <v>1996</v>
      </c>
      <c r="M178">
        <v>1418</v>
      </c>
      <c r="N178" t="s">
        <v>74</v>
      </c>
      <c r="O178">
        <v>3</v>
      </c>
      <c r="P178">
        <v>6</v>
      </c>
      <c r="Q178">
        <v>2</v>
      </c>
      <c r="R178">
        <v>1</v>
      </c>
    </row>
    <row r="179" spans="1:18" x14ac:dyDescent="0.2">
      <c r="A179" t="s">
        <v>142</v>
      </c>
      <c r="B179" t="s">
        <v>242</v>
      </c>
      <c r="C179">
        <v>63011</v>
      </c>
      <c r="D179">
        <v>43817</v>
      </c>
      <c r="E179">
        <v>230500</v>
      </c>
      <c r="F179">
        <v>168.49</v>
      </c>
      <c r="G179" t="s">
        <v>71</v>
      </c>
      <c r="H179">
        <v>0.22850000000000001</v>
      </c>
      <c r="I179" s="37">
        <v>2</v>
      </c>
      <c r="J179" t="s">
        <v>86</v>
      </c>
      <c r="K179" t="s">
        <v>73</v>
      </c>
      <c r="L179">
        <v>1996</v>
      </c>
      <c r="M179">
        <v>1368</v>
      </c>
      <c r="N179" t="s">
        <v>74</v>
      </c>
      <c r="O179">
        <v>3</v>
      </c>
      <c r="P179">
        <v>6</v>
      </c>
      <c r="Q179">
        <v>2</v>
      </c>
      <c r="R179">
        <v>1</v>
      </c>
    </row>
    <row r="180" spans="1:18" x14ac:dyDescent="0.2">
      <c r="A180" t="s">
        <v>140</v>
      </c>
      <c r="B180" t="s">
        <v>240</v>
      </c>
      <c r="C180">
        <v>63011</v>
      </c>
      <c r="D180">
        <v>44064</v>
      </c>
      <c r="E180">
        <v>238000</v>
      </c>
      <c r="F180">
        <v>217.15</v>
      </c>
      <c r="G180" t="s">
        <v>71</v>
      </c>
      <c r="H180">
        <v>8.43E-2</v>
      </c>
      <c r="I180" s="37">
        <v>1</v>
      </c>
      <c r="J180" t="s">
        <v>86</v>
      </c>
      <c r="K180" t="s">
        <v>73</v>
      </c>
      <c r="L180">
        <v>1996</v>
      </c>
      <c r="M180">
        <v>1096</v>
      </c>
      <c r="N180" t="s">
        <v>74</v>
      </c>
      <c r="O180">
        <v>3</v>
      </c>
      <c r="P180">
        <v>6</v>
      </c>
      <c r="Q180">
        <v>3</v>
      </c>
      <c r="R180">
        <v>0</v>
      </c>
    </row>
    <row r="181" spans="1:18" x14ac:dyDescent="0.2">
      <c r="A181" t="s">
        <v>144</v>
      </c>
      <c r="B181" t="s">
        <v>244</v>
      </c>
      <c r="C181">
        <v>63011</v>
      </c>
      <c r="D181">
        <v>43390</v>
      </c>
      <c r="E181">
        <v>224000</v>
      </c>
      <c r="F181">
        <v>192.43</v>
      </c>
      <c r="G181" t="s">
        <v>71</v>
      </c>
      <c r="H181">
        <v>8.0299999999999996E-2</v>
      </c>
      <c r="I181" s="37">
        <v>2</v>
      </c>
      <c r="J181" t="s">
        <v>86</v>
      </c>
      <c r="K181" t="s">
        <v>73</v>
      </c>
      <c r="L181">
        <v>1996</v>
      </c>
      <c r="M181">
        <v>1164</v>
      </c>
      <c r="N181" t="s">
        <v>74</v>
      </c>
      <c r="O181">
        <v>3</v>
      </c>
      <c r="P181">
        <v>6</v>
      </c>
      <c r="Q181">
        <v>2</v>
      </c>
      <c r="R181">
        <v>1</v>
      </c>
    </row>
    <row r="182" spans="1:18" x14ac:dyDescent="0.2">
      <c r="A182" t="s">
        <v>145</v>
      </c>
      <c r="B182" t="s">
        <v>245</v>
      </c>
      <c r="C182">
        <v>63011</v>
      </c>
      <c r="D182">
        <v>43465</v>
      </c>
      <c r="E182">
        <v>199000</v>
      </c>
      <c r="F182">
        <v>181.56</v>
      </c>
      <c r="G182" t="s">
        <v>71</v>
      </c>
      <c r="H182">
        <v>8.8400000000000006E-2</v>
      </c>
      <c r="I182" s="37">
        <v>1</v>
      </c>
      <c r="J182" t="s">
        <v>86</v>
      </c>
      <c r="K182" t="s">
        <v>73</v>
      </c>
      <c r="L182">
        <v>1996</v>
      </c>
      <c r="M182">
        <v>1096</v>
      </c>
      <c r="N182" t="s">
        <v>74</v>
      </c>
      <c r="O182">
        <v>2</v>
      </c>
      <c r="P182">
        <v>5</v>
      </c>
      <c r="Q182">
        <v>2</v>
      </c>
      <c r="R182">
        <v>0</v>
      </c>
    </row>
    <row r="183" spans="1:18" x14ac:dyDescent="0.2">
      <c r="A183" t="s">
        <v>161</v>
      </c>
      <c r="B183" t="s">
        <v>272</v>
      </c>
      <c r="C183">
        <v>63040</v>
      </c>
      <c r="D183">
        <v>43689</v>
      </c>
      <c r="E183">
        <v>425000</v>
      </c>
      <c r="F183">
        <v>174.75</v>
      </c>
      <c r="G183">
        <v>2</v>
      </c>
      <c r="H183">
        <v>0.1348</v>
      </c>
      <c r="I183" s="37">
        <v>1</v>
      </c>
      <c r="J183" t="s">
        <v>72</v>
      </c>
      <c r="K183" t="s">
        <v>73</v>
      </c>
      <c r="L183">
        <v>2012</v>
      </c>
      <c r="M183">
        <v>2432</v>
      </c>
      <c r="N183" t="s">
        <v>74</v>
      </c>
      <c r="O183">
        <v>2</v>
      </c>
      <c r="P183">
        <v>6</v>
      </c>
      <c r="Q183">
        <v>3</v>
      </c>
      <c r="R183">
        <v>0</v>
      </c>
    </row>
    <row r="184" spans="1:18" x14ac:dyDescent="0.2">
      <c r="A184" t="s">
        <v>146</v>
      </c>
      <c r="B184" t="s">
        <v>246</v>
      </c>
      <c r="C184">
        <v>63011</v>
      </c>
      <c r="D184">
        <v>43567</v>
      </c>
      <c r="E184">
        <v>252500</v>
      </c>
      <c r="F184">
        <v>152.29</v>
      </c>
      <c r="G184" t="s">
        <v>133</v>
      </c>
      <c r="H184">
        <v>8.8400000000000006E-2</v>
      </c>
      <c r="I184" s="37">
        <v>2</v>
      </c>
      <c r="J184" t="s">
        <v>86</v>
      </c>
      <c r="K184" t="s">
        <v>73</v>
      </c>
      <c r="L184">
        <v>1995</v>
      </c>
      <c r="M184">
        <v>1658</v>
      </c>
      <c r="N184" t="s">
        <v>74</v>
      </c>
      <c r="O184">
        <v>3</v>
      </c>
      <c r="P184">
        <v>6</v>
      </c>
      <c r="Q184">
        <v>2</v>
      </c>
      <c r="R184">
        <v>1</v>
      </c>
    </row>
    <row r="185" spans="1:18" x14ac:dyDescent="0.2">
      <c r="A185" t="s">
        <v>147</v>
      </c>
      <c r="B185" t="s">
        <v>247</v>
      </c>
      <c r="C185">
        <v>63011</v>
      </c>
      <c r="D185">
        <v>43242</v>
      </c>
      <c r="E185">
        <v>234900</v>
      </c>
      <c r="F185">
        <v>170.71</v>
      </c>
      <c r="G185" t="s">
        <v>71</v>
      </c>
      <c r="H185">
        <v>0.1158</v>
      </c>
      <c r="I185" s="37">
        <v>2</v>
      </c>
      <c r="J185" t="s">
        <v>86</v>
      </c>
      <c r="K185" t="s">
        <v>73</v>
      </c>
      <c r="L185">
        <v>1996</v>
      </c>
      <c r="M185">
        <v>1376</v>
      </c>
      <c r="N185" t="s">
        <v>74</v>
      </c>
      <c r="O185">
        <v>3</v>
      </c>
      <c r="P185">
        <v>7</v>
      </c>
      <c r="Q185">
        <v>2</v>
      </c>
      <c r="R185">
        <v>1</v>
      </c>
    </row>
    <row r="186" spans="1:18" x14ac:dyDescent="0.2">
      <c r="A186" t="s">
        <v>148</v>
      </c>
      <c r="B186" t="s">
        <v>248</v>
      </c>
      <c r="C186">
        <v>63011</v>
      </c>
      <c r="D186">
        <v>43559</v>
      </c>
      <c r="E186">
        <v>217027</v>
      </c>
      <c r="F186">
        <v>153.69999999999999</v>
      </c>
      <c r="G186" t="s">
        <v>71</v>
      </c>
      <c r="H186">
        <v>8.0299999999999996E-2</v>
      </c>
      <c r="I186" s="37">
        <v>2</v>
      </c>
      <c r="J186" t="s">
        <v>86</v>
      </c>
      <c r="K186" t="s">
        <v>73</v>
      </c>
      <c r="L186">
        <v>1994</v>
      </c>
      <c r="M186">
        <v>1412</v>
      </c>
      <c r="N186" t="s">
        <v>74</v>
      </c>
      <c r="O186">
        <v>3</v>
      </c>
      <c r="P186">
        <v>7</v>
      </c>
      <c r="Q186">
        <v>2</v>
      </c>
      <c r="R186">
        <v>1</v>
      </c>
    </row>
    <row r="187" spans="1:18" x14ac:dyDescent="0.2">
      <c r="A187" t="s">
        <v>149</v>
      </c>
      <c r="B187" t="s">
        <v>249</v>
      </c>
      <c r="C187">
        <v>63011</v>
      </c>
      <c r="D187">
        <v>44140</v>
      </c>
      <c r="E187">
        <v>185501</v>
      </c>
      <c r="F187">
        <v>132.78</v>
      </c>
      <c r="G187">
        <v>3</v>
      </c>
      <c r="H187">
        <v>8.0299999999999996E-2</v>
      </c>
      <c r="I187" s="37">
        <v>2</v>
      </c>
      <c r="J187" t="s">
        <v>86</v>
      </c>
      <c r="K187" t="s">
        <v>73</v>
      </c>
      <c r="L187">
        <v>1996</v>
      </c>
      <c r="M187">
        <v>1397</v>
      </c>
      <c r="N187" t="s">
        <v>74</v>
      </c>
      <c r="O187">
        <v>3</v>
      </c>
      <c r="P187">
        <v>7</v>
      </c>
      <c r="Q187">
        <v>3</v>
      </c>
      <c r="R187">
        <v>1</v>
      </c>
    </row>
    <row r="188" spans="1:18" x14ac:dyDescent="0.2">
      <c r="A188" t="s">
        <v>149</v>
      </c>
      <c r="B188" t="s">
        <v>249</v>
      </c>
      <c r="C188">
        <v>63011</v>
      </c>
      <c r="D188">
        <v>44222</v>
      </c>
      <c r="E188">
        <v>280000</v>
      </c>
      <c r="F188">
        <v>200.42</v>
      </c>
      <c r="G188" t="s">
        <v>71</v>
      </c>
      <c r="H188">
        <v>8.0299999999999996E-2</v>
      </c>
      <c r="I188" s="37">
        <v>2</v>
      </c>
      <c r="J188" t="s">
        <v>86</v>
      </c>
      <c r="K188" t="s">
        <v>73</v>
      </c>
      <c r="L188">
        <v>1996</v>
      </c>
      <c r="M188">
        <v>1397</v>
      </c>
      <c r="N188" t="s">
        <v>74</v>
      </c>
      <c r="O188">
        <v>3</v>
      </c>
      <c r="P188">
        <v>7</v>
      </c>
      <c r="Q188">
        <v>3</v>
      </c>
      <c r="R188">
        <v>1</v>
      </c>
    </row>
    <row r="189" spans="1:18" x14ac:dyDescent="0.2">
      <c r="A189" t="s">
        <v>152</v>
      </c>
      <c r="B189" t="s">
        <v>252</v>
      </c>
      <c r="C189">
        <v>63011</v>
      </c>
      <c r="D189">
        <v>43599</v>
      </c>
      <c r="E189">
        <v>232000</v>
      </c>
      <c r="F189">
        <v>183.83</v>
      </c>
      <c r="G189" t="s">
        <v>71</v>
      </c>
      <c r="H189">
        <v>8.0299999999999996E-2</v>
      </c>
      <c r="I189" s="37">
        <v>2</v>
      </c>
      <c r="J189" t="s">
        <v>86</v>
      </c>
      <c r="K189" t="s">
        <v>73</v>
      </c>
      <c r="L189">
        <v>1995</v>
      </c>
      <c r="M189">
        <v>1262</v>
      </c>
      <c r="N189" t="s">
        <v>74</v>
      </c>
      <c r="O189">
        <v>3</v>
      </c>
      <c r="P189">
        <v>7</v>
      </c>
      <c r="Q189">
        <v>2</v>
      </c>
      <c r="R189">
        <v>1</v>
      </c>
    </row>
    <row r="190" spans="1:18" x14ac:dyDescent="0.2">
      <c r="A190" t="s">
        <v>153</v>
      </c>
      <c r="B190" t="s">
        <v>253</v>
      </c>
      <c r="C190">
        <v>63011</v>
      </c>
      <c r="D190">
        <v>43699</v>
      </c>
      <c r="E190">
        <v>215000</v>
      </c>
      <c r="F190">
        <v>184.7</v>
      </c>
      <c r="G190" t="s">
        <v>71</v>
      </c>
      <c r="H190">
        <v>0.12429999999999999</v>
      </c>
      <c r="I190" s="37">
        <v>2</v>
      </c>
      <c r="J190" t="s">
        <v>86</v>
      </c>
      <c r="K190" t="s">
        <v>73</v>
      </c>
      <c r="L190">
        <v>1996</v>
      </c>
      <c r="M190">
        <v>1164</v>
      </c>
      <c r="N190" t="s">
        <v>74</v>
      </c>
      <c r="O190">
        <v>3</v>
      </c>
      <c r="P190">
        <v>6</v>
      </c>
      <c r="Q190">
        <v>2</v>
      </c>
      <c r="R190">
        <v>1</v>
      </c>
    </row>
    <row r="191" spans="1:18" x14ac:dyDescent="0.2">
      <c r="A191" t="s">
        <v>158</v>
      </c>
      <c r="C191">
        <v>63011</v>
      </c>
      <c r="D191">
        <v>44196</v>
      </c>
      <c r="E191">
        <v>298000</v>
      </c>
      <c r="F191">
        <v>167.22</v>
      </c>
      <c r="G191" t="s">
        <v>71</v>
      </c>
      <c r="H191">
        <v>0.12570000000000001</v>
      </c>
      <c r="I191" s="37">
        <v>2</v>
      </c>
      <c r="J191" t="s">
        <v>86</v>
      </c>
      <c r="K191" t="s">
        <v>73</v>
      </c>
      <c r="L191">
        <v>1996</v>
      </c>
      <c r="M191">
        <v>1782</v>
      </c>
      <c r="N191" t="s">
        <v>74</v>
      </c>
      <c r="O191">
        <v>3</v>
      </c>
      <c r="P191">
        <v>7</v>
      </c>
      <c r="Q191">
        <v>2</v>
      </c>
      <c r="R191">
        <v>2</v>
      </c>
    </row>
    <row r="192" spans="1:18" x14ac:dyDescent="0.2">
      <c r="A192" t="s">
        <v>159</v>
      </c>
      <c r="C192">
        <v>63011</v>
      </c>
      <c r="D192">
        <v>43297</v>
      </c>
      <c r="E192">
        <v>269900</v>
      </c>
      <c r="F192">
        <v>150.61000000000001</v>
      </c>
      <c r="G192" t="s">
        <v>71</v>
      </c>
      <c r="H192">
        <v>0.16900000000000001</v>
      </c>
      <c r="I192" s="37">
        <v>2</v>
      </c>
      <c r="J192" t="s">
        <v>86</v>
      </c>
      <c r="K192" t="s">
        <v>73</v>
      </c>
      <c r="L192">
        <v>1996</v>
      </c>
      <c r="M192">
        <v>1792</v>
      </c>
      <c r="N192" t="s">
        <v>74</v>
      </c>
      <c r="O192">
        <v>3</v>
      </c>
      <c r="P192">
        <v>6</v>
      </c>
      <c r="Q192">
        <v>3</v>
      </c>
      <c r="R192">
        <v>1</v>
      </c>
    </row>
    <row r="193" spans="1:18" x14ac:dyDescent="0.2">
      <c r="A193" t="s">
        <v>155</v>
      </c>
      <c r="C193">
        <v>63011</v>
      </c>
      <c r="D193">
        <v>44053</v>
      </c>
      <c r="E193">
        <v>256500</v>
      </c>
      <c r="F193">
        <v>215.9</v>
      </c>
      <c r="G193" t="s">
        <v>71</v>
      </c>
      <c r="H193">
        <v>8.0299999999999996E-2</v>
      </c>
      <c r="I193" s="37">
        <v>2</v>
      </c>
      <c r="J193" t="s">
        <v>86</v>
      </c>
      <c r="K193" t="s">
        <v>73</v>
      </c>
      <c r="L193">
        <v>1996</v>
      </c>
      <c r="M193">
        <v>1188</v>
      </c>
      <c r="N193" t="s">
        <v>74</v>
      </c>
      <c r="O193">
        <v>3</v>
      </c>
      <c r="P193">
        <v>6</v>
      </c>
      <c r="Q193">
        <v>2</v>
      </c>
      <c r="R193">
        <v>1</v>
      </c>
    </row>
  </sheetData>
  <autoFilter ref="A1:N193" xr:uid="{5F3AD033-04B6-496A-A826-22F6A4ADC492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0E31B-003C-46E3-B4E5-318DA24CE702}">
  <sheetPr filterMode="1"/>
  <dimension ref="A1:M31"/>
  <sheetViews>
    <sheetView workbookViewId="0">
      <selection activeCell="B24" sqref="B24"/>
    </sheetView>
  </sheetViews>
  <sheetFormatPr defaultColWidth="12.625" defaultRowHeight="14.25" x14ac:dyDescent="0.2"/>
  <cols>
    <col min="2" max="2" width="20.375" bestFit="1" customWidth="1"/>
    <col min="5" max="5" width="12.625" style="34"/>
    <col min="6" max="6" width="15.5" hidden="1" customWidth="1"/>
    <col min="7" max="7" width="0" hidden="1" customWidth="1"/>
    <col min="8" max="8" width="12.625" style="3"/>
    <col min="9" max="9" width="12.625" style="39"/>
    <col min="10" max="11" width="0" style="40" hidden="1" customWidth="1"/>
    <col min="12" max="12" width="14.625" style="3" bestFit="1" customWidth="1"/>
  </cols>
  <sheetData>
    <row r="1" spans="1:13" x14ac:dyDescent="0.2">
      <c r="A1" t="s">
        <v>274</v>
      </c>
      <c r="B1" t="s">
        <v>278</v>
      </c>
      <c r="C1" t="s">
        <v>277</v>
      </c>
      <c r="D1" t="s">
        <v>275</v>
      </c>
      <c r="E1" s="34" t="s">
        <v>276</v>
      </c>
      <c r="F1" t="s">
        <v>279</v>
      </c>
      <c r="G1" t="s">
        <v>280</v>
      </c>
      <c r="H1" s="3" t="s">
        <v>281</v>
      </c>
      <c r="I1" s="39" t="s">
        <v>283</v>
      </c>
      <c r="J1" s="40" t="s">
        <v>284</v>
      </c>
      <c r="K1" s="40" t="s">
        <v>285</v>
      </c>
      <c r="L1" s="3" t="s">
        <v>286</v>
      </c>
      <c r="M1" t="s">
        <v>282</v>
      </c>
    </row>
    <row r="2" spans="1:13" hidden="1" x14ac:dyDescent="0.2">
      <c r="A2">
        <v>1652</v>
      </c>
      <c r="B2" s="1">
        <v>44418</v>
      </c>
      <c r="C2">
        <v>2016</v>
      </c>
      <c r="D2">
        <v>221</v>
      </c>
      <c r="E2" s="34">
        <f t="shared" ref="E2:E13" si="0">D2*A2</f>
        <v>365092</v>
      </c>
      <c r="H2"/>
      <c r="I2"/>
      <c r="J2"/>
      <c r="K2"/>
      <c r="L2"/>
    </row>
    <row r="3" spans="1:13" hidden="1" x14ac:dyDescent="0.2">
      <c r="A3">
        <v>1680</v>
      </c>
      <c r="B3" s="1">
        <v>44253</v>
      </c>
      <c r="C3">
        <v>2017</v>
      </c>
      <c r="D3">
        <v>208</v>
      </c>
      <c r="E3" s="34">
        <f t="shared" si="0"/>
        <v>349440</v>
      </c>
      <c r="H3"/>
      <c r="I3"/>
      <c r="J3"/>
      <c r="K3"/>
      <c r="L3"/>
    </row>
    <row r="4" spans="1:13" hidden="1" x14ac:dyDescent="0.2">
      <c r="A4">
        <v>1800</v>
      </c>
      <c r="B4">
        <v>2019</v>
      </c>
      <c r="C4">
        <v>2019</v>
      </c>
      <c r="D4">
        <v>223</v>
      </c>
      <c r="E4" s="34">
        <f t="shared" si="0"/>
        <v>401400</v>
      </c>
      <c r="H4"/>
      <c r="I4"/>
      <c r="J4"/>
      <c r="K4"/>
      <c r="L4"/>
    </row>
    <row r="5" spans="1:13" hidden="1" x14ac:dyDescent="0.2">
      <c r="A5">
        <v>1984</v>
      </c>
      <c r="B5" s="1">
        <v>44274</v>
      </c>
      <c r="C5">
        <v>2019</v>
      </c>
      <c r="D5">
        <v>177</v>
      </c>
      <c r="E5" s="34">
        <f t="shared" si="0"/>
        <v>351168</v>
      </c>
      <c r="H5"/>
      <c r="I5"/>
      <c r="J5"/>
      <c r="K5"/>
      <c r="L5"/>
    </row>
    <row r="6" spans="1:13" x14ac:dyDescent="0.2">
      <c r="A6">
        <v>2130</v>
      </c>
      <c r="B6" s="1">
        <v>43601</v>
      </c>
      <c r="C6">
        <v>2018</v>
      </c>
      <c r="D6">
        <v>213</v>
      </c>
      <c r="E6" s="34">
        <f t="shared" si="0"/>
        <v>453690</v>
      </c>
      <c r="F6">
        <v>270000</v>
      </c>
      <c r="G6">
        <v>310000</v>
      </c>
      <c r="H6" s="3">
        <f>(G6-F6)/F6</f>
        <v>0.14814814814814814</v>
      </c>
      <c r="I6" s="39">
        <f>(1+H6)*D6</f>
        <v>244.55555555555554</v>
      </c>
      <c r="J6" s="40">
        <v>254000</v>
      </c>
      <c r="K6" s="40">
        <v>303000</v>
      </c>
      <c r="L6" s="3">
        <f>(K6-J6)/J6</f>
        <v>0.19291338582677164</v>
      </c>
      <c r="M6" s="39">
        <f>(1+L6)*D6</f>
        <v>254.09055118110237</v>
      </c>
    </row>
    <row r="7" spans="1:13" x14ac:dyDescent="0.2">
      <c r="A7" s="25">
        <v>2340</v>
      </c>
      <c r="B7" s="41">
        <v>43713</v>
      </c>
      <c r="C7" s="25">
        <v>2004</v>
      </c>
      <c r="D7" s="25">
        <v>156</v>
      </c>
      <c r="E7" s="20">
        <f t="shared" si="0"/>
        <v>365040</v>
      </c>
      <c r="F7">
        <v>270000</v>
      </c>
      <c r="G7">
        <v>310000</v>
      </c>
      <c r="H7" s="42">
        <f>(G7-F7)/F7</f>
        <v>0.14814814814814814</v>
      </c>
      <c r="I7" s="43">
        <f>(1+H7)*D7</f>
        <v>179.11111111111111</v>
      </c>
      <c r="J7" s="40">
        <v>252000</v>
      </c>
      <c r="K7" s="40">
        <v>303000</v>
      </c>
      <c r="L7" s="42">
        <f>(K7-J7)/J7</f>
        <v>0.20238095238095238</v>
      </c>
      <c r="M7" s="43">
        <f>(1+L7)*D7</f>
        <v>187.57142857142856</v>
      </c>
    </row>
    <row r="8" spans="1:13" x14ac:dyDescent="0.2">
      <c r="A8" s="44">
        <v>2459</v>
      </c>
      <c r="B8" s="45">
        <v>44084</v>
      </c>
      <c r="C8" s="44">
        <v>2016</v>
      </c>
      <c r="D8" s="44">
        <v>144</v>
      </c>
      <c r="E8" s="46">
        <f t="shared" si="0"/>
        <v>354096</v>
      </c>
      <c r="F8">
        <v>295000</v>
      </c>
      <c r="G8">
        <v>310000</v>
      </c>
      <c r="H8" s="47">
        <f>(G8-F8)/F8</f>
        <v>5.0847457627118647E-2</v>
      </c>
      <c r="I8" s="48">
        <f>(1+H8)*D8</f>
        <v>151.32203389830511</v>
      </c>
      <c r="J8" s="40">
        <v>265000</v>
      </c>
      <c r="K8" s="40">
        <v>303000</v>
      </c>
      <c r="L8" s="47">
        <f>(K8-J8)/J8</f>
        <v>0.14339622641509434</v>
      </c>
      <c r="M8" s="48">
        <f>(1+L8)*D8</f>
        <v>164.64905660377357</v>
      </c>
    </row>
    <row r="9" spans="1:13" x14ac:dyDescent="0.2">
      <c r="A9" s="25">
        <v>2545</v>
      </c>
      <c r="B9" s="41">
        <v>44165</v>
      </c>
      <c r="C9" s="25">
        <v>2001</v>
      </c>
      <c r="D9" s="25">
        <v>141</v>
      </c>
      <c r="E9" s="20">
        <f t="shared" si="0"/>
        <v>358845</v>
      </c>
      <c r="F9">
        <v>285000</v>
      </c>
      <c r="G9">
        <v>310000</v>
      </c>
      <c r="H9" s="42">
        <f>(G9-F9)/F9</f>
        <v>8.771929824561403E-2</v>
      </c>
      <c r="I9" s="43">
        <f>(1+H9)*D9</f>
        <v>153.36842105263159</v>
      </c>
      <c r="J9" s="40">
        <v>270000</v>
      </c>
      <c r="K9" s="40">
        <v>303000</v>
      </c>
      <c r="L9" s="42">
        <f>(K9-J9)/J9</f>
        <v>0.12222222222222222</v>
      </c>
      <c r="M9" s="43">
        <f>(1+L9)*D9</f>
        <v>158.23333333333335</v>
      </c>
    </row>
    <row r="10" spans="1:13" x14ac:dyDescent="0.2">
      <c r="A10">
        <v>2941</v>
      </c>
      <c r="B10" s="1">
        <v>43861</v>
      </c>
      <c r="C10">
        <v>2019</v>
      </c>
      <c r="D10">
        <v>119</v>
      </c>
      <c r="E10" s="34">
        <f t="shared" si="0"/>
        <v>349979</v>
      </c>
      <c r="F10">
        <v>260000</v>
      </c>
      <c r="G10">
        <v>310000</v>
      </c>
      <c r="H10" s="3">
        <f>(G10-F10)/F10</f>
        <v>0.19230769230769232</v>
      </c>
      <c r="I10" s="39">
        <f>(1+H10)*D10</f>
        <v>141.88461538461539</v>
      </c>
      <c r="J10" s="40">
        <v>255000</v>
      </c>
      <c r="K10" s="40">
        <v>303000</v>
      </c>
      <c r="L10" s="3">
        <f>(K10-J10)/J10</f>
        <v>0.18823529411764706</v>
      </c>
      <c r="M10" s="39">
        <f>(1+L10)*D10</f>
        <v>141.4</v>
      </c>
    </row>
    <row r="11" spans="1:13" hidden="1" x14ac:dyDescent="0.2">
      <c r="A11">
        <v>3200</v>
      </c>
      <c r="B11" s="1">
        <v>44281</v>
      </c>
      <c r="C11">
        <v>2003</v>
      </c>
      <c r="D11">
        <v>120</v>
      </c>
      <c r="E11" s="34">
        <f t="shared" si="0"/>
        <v>384000</v>
      </c>
      <c r="H11"/>
      <c r="I11"/>
      <c r="J11"/>
      <c r="K11"/>
      <c r="L11"/>
    </row>
    <row r="12" spans="1:13" hidden="1" x14ac:dyDescent="0.2">
      <c r="A12">
        <v>3600</v>
      </c>
      <c r="B12" s="1">
        <v>44354</v>
      </c>
      <c r="C12">
        <v>2003</v>
      </c>
      <c r="D12">
        <v>114</v>
      </c>
      <c r="E12" s="34">
        <f t="shared" si="0"/>
        <v>410400</v>
      </c>
      <c r="H12"/>
      <c r="I12"/>
      <c r="J12"/>
      <c r="K12"/>
      <c r="L12"/>
    </row>
    <row r="13" spans="1:13" hidden="1" x14ac:dyDescent="0.2">
      <c r="A13">
        <v>4000</v>
      </c>
      <c r="B13" s="1">
        <v>44070</v>
      </c>
      <c r="C13">
        <v>2018</v>
      </c>
      <c r="D13">
        <v>116</v>
      </c>
      <c r="E13" s="34">
        <f t="shared" si="0"/>
        <v>464000</v>
      </c>
      <c r="H13"/>
      <c r="I13"/>
      <c r="J13"/>
      <c r="K13"/>
      <c r="L13"/>
    </row>
    <row r="20" spans="2:3" x14ac:dyDescent="0.2">
      <c r="B20">
        <v>145</v>
      </c>
      <c r="C20" s="34">
        <f>2583*B20</f>
        <v>374535</v>
      </c>
    </row>
    <row r="21" spans="2:3" x14ac:dyDescent="0.2">
      <c r="B21">
        <v>150</v>
      </c>
      <c r="C21" s="34">
        <f>2583*B21</f>
        <v>387450</v>
      </c>
    </row>
    <row r="22" spans="2:3" x14ac:dyDescent="0.2">
      <c r="B22" s="25">
        <v>152</v>
      </c>
      <c r="C22" s="20">
        <f>2583*B22</f>
        <v>392616</v>
      </c>
    </row>
    <row r="23" spans="2:3" x14ac:dyDescent="0.2">
      <c r="B23">
        <v>155</v>
      </c>
      <c r="C23" s="34">
        <f>2583*B23</f>
        <v>400365</v>
      </c>
    </row>
    <row r="24" spans="2:3" x14ac:dyDescent="0.2">
      <c r="B24">
        <v>154</v>
      </c>
      <c r="C24" s="34">
        <f>2583*B24</f>
        <v>397782</v>
      </c>
    </row>
    <row r="27" spans="2:3" x14ac:dyDescent="0.2">
      <c r="B27" t="s">
        <v>287</v>
      </c>
      <c r="C27" s="49">
        <v>2784</v>
      </c>
    </row>
    <row r="28" spans="2:3" x14ac:dyDescent="0.2">
      <c r="B28" t="s">
        <v>288</v>
      </c>
      <c r="C28" s="49">
        <v>372900</v>
      </c>
    </row>
    <row r="29" spans="2:3" x14ac:dyDescent="0.2">
      <c r="B29" t="s">
        <v>289</v>
      </c>
      <c r="C29" s="49">
        <f>C28/C27</f>
        <v>133.94396551724137</v>
      </c>
    </row>
    <row r="30" spans="2:3" x14ac:dyDescent="0.2">
      <c r="B30" t="s">
        <v>290</v>
      </c>
      <c r="C30" s="49">
        <f>C28+60000</f>
        <v>432900</v>
      </c>
    </row>
    <row r="31" spans="2:3" x14ac:dyDescent="0.2">
      <c r="B31" t="s">
        <v>291</v>
      </c>
      <c r="C31" s="49">
        <f>C30/C27</f>
        <v>155.49568965517241</v>
      </c>
    </row>
  </sheetData>
  <autoFilter ref="A1:E13" xr:uid="{1320E31B-003C-46E3-B4E5-318DA24CE702}">
    <filterColumn colId="0">
      <filters>
        <filter val="2130"/>
        <filter val="2340"/>
        <filter val="2459"/>
        <filter val="2545"/>
        <filter val="2941"/>
      </filters>
    </filterColumn>
    <sortState xmlns:xlrd2="http://schemas.microsoft.com/office/spreadsheetml/2017/richdata2" ref="A2:E13">
      <sortCondition ref="A1"/>
    </sortState>
  </autoFilter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FB162-02F6-45B2-ABA1-0214EBFD517E}">
  <dimension ref="A1:N34"/>
  <sheetViews>
    <sheetView workbookViewId="0">
      <selection activeCell="B6" sqref="B6"/>
    </sheetView>
  </sheetViews>
  <sheetFormatPr defaultRowHeight="14.25" x14ac:dyDescent="0.2"/>
  <cols>
    <col min="1" max="1" width="26.125" bestFit="1" customWidth="1"/>
    <col min="2" max="2" width="11.625" customWidth="1"/>
    <col min="3" max="3" width="12.125" bestFit="1" customWidth="1"/>
    <col min="4" max="4" width="11.625" customWidth="1"/>
    <col min="5" max="5" width="23.75" customWidth="1"/>
    <col min="6" max="6" width="11.25" customWidth="1"/>
    <col min="9" max="9" width="26.125" bestFit="1" customWidth="1"/>
    <col min="10" max="10" width="12.625" customWidth="1"/>
    <col min="11" max="11" width="12.125" bestFit="1" customWidth="1"/>
    <col min="12" max="12" width="10.125" bestFit="1" customWidth="1"/>
    <col min="13" max="13" width="24.625" customWidth="1"/>
    <col min="14" max="14" width="13.875" customWidth="1"/>
  </cols>
  <sheetData>
    <row r="1" spans="1:14" x14ac:dyDescent="0.2">
      <c r="A1" s="19" t="s">
        <v>23</v>
      </c>
      <c r="I1" s="19" t="s">
        <v>23</v>
      </c>
      <c r="L1" s="34"/>
    </row>
    <row r="2" spans="1:14" x14ac:dyDescent="0.2">
      <c r="A2" t="s">
        <v>24</v>
      </c>
      <c r="B2" s="20">
        <v>480000</v>
      </c>
      <c r="E2" s="14"/>
      <c r="I2" t="s">
        <v>24</v>
      </c>
      <c r="J2" s="20">
        <v>460000</v>
      </c>
    </row>
    <row r="3" spans="1:14" x14ac:dyDescent="0.2">
      <c r="A3" t="s">
        <v>25</v>
      </c>
      <c r="B3" s="15">
        <v>150000</v>
      </c>
      <c r="C3" s="3"/>
      <c r="D3" s="3"/>
      <c r="E3" s="21" t="s">
        <v>26</v>
      </c>
      <c r="F3" s="22">
        <v>130000</v>
      </c>
      <c r="I3" t="s">
        <v>25</v>
      </c>
      <c r="J3" s="15">
        <v>130000</v>
      </c>
      <c r="M3" s="21" t="s">
        <v>26</v>
      </c>
      <c r="N3" s="22">
        <v>120000</v>
      </c>
    </row>
    <row r="4" spans="1:14" x14ac:dyDescent="0.2">
      <c r="A4" t="s">
        <v>27</v>
      </c>
      <c r="B4" s="15">
        <f>B2-B3</f>
        <v>330000</v>
      </c>
      <c r="E4" s="23" t="s">
        <v>28</v>
      </c>
      <c r="F4" s="22"/>
      <c r="I4" t="s">
        <v>27</v>
      </c>
      <c r="J4" s="15">
        <f>J2-J3</f>
        <v>330000</v>
      </c>
      <c r="M4" s="23" t="s">
        <v>28</v>
      </c>
      <c r="N4" s="22"/>
    </row>
    <row r="5" spans="1:14" x14ac:dyDescent="0.2">
      <c r="A5" t="s">
        <v>29</v>
      </c>
      <c r="B5" s="24">
        <v>3.2500000000000001E-2</v>
      </c>
      <c r="E5" s="21" t="s">
        <v>30</v>
      </c>
      <c r="F5" s="22">
        <v>0</v>
      </c>
      <c r="I5" t="s">
        <v>29</v>
      </c>
      <c r="J5" s="24">
        <v>3.2500000000000001E-2</v>
      </c>
      <c r="M5" s="21" t="s">
        <v>30</v>
      </c>
      <c r="N5" s="22">
        <v>0</v>
      </c>
    </row>
    <row r="6" spans="1:14" x14ac:dyDescent="0.2">
      <c r="A6" t="s">
        <v>31</v>
      </c>
      <c r="B6" s="25">
        <v>20</v>
      </c>
      <c r="E6" s="23" t="s">
        <v>32</v>
      </c>
      <c r="F6" s="26">
        <f>SUM(F3:F5)</f>
        <v>130000</v>
      </c>
      <c r="I6" t="s">
        <v>31</v>
      </c>
      <c r="J6" s="25">
        <v>30</v>
      </c>
      <c r="M6" s="23" t="s">
        <v>32</v>
      </c>
      <c r="N6" s="26">
        <f>SUM(N3:N5)</f>
        <v>120000</v>
      </c>
    </row>
    <row r="7" spans="1:14" x14ac:dyDescent="0.2">
      <c r="A7" t="s">
        <v>33</v>
      </c>
      <c r="B7">
        <v>12</v>
      </c>
      <c r="E7" s="23" t="s">
        <v>305</v>
      </c>
      <c r="F7" s="26">
        <v>470</v>
      </c>
      <c r="I7" t="s">
        <v>33</v>
      </c>
      <c r="J7">
        <v>12</v>
      </c>
      <c r="M7" s="23" t="s">
        <v>293</v>
      </c>
      <c r="N7" s="26">
        <f>N6/12</f>
        <v>10000</v>
      </c>
    </row>
    <row r="8" spans="1:14" x14ac:dyDescent="0.2">
      <c r="A8" t="s">
        <v>35</v>
      </c>
      <c r="B8" s="15">
        <f>-PMT(B5/B7,B7*B6,B4)</f>
        <v>1871.7460129313415</v>
      </c>
      <c r="C8" s="4"/>
      <c r="E8" s="23" t="s">
        <v>306</v>
      </c>
      <c r="F8" s="26">
        <f>(F6/12)*0.07</f>
        <v>758.33333333333348</v>
      </c>
      <c r="I8" t="s">
        <v>35</v>
      </c>
      <c r="J8" s="15">
        <f>-PMT(J5/J7,J7*J6,J4)</f>
        <v>1436.1808529388561</v>
      </c>
      <c r="M8" s="23" t="s">
        <v>34</v>
      </c>
      <c r="N8" s="26">
        <f>N6*0.73</f>
        <v>87600</v>
      </c>
    </row>
    <row r="9" spans="1:14" x14ac:dyDescent="0.2">
      <c r="A9" t="s">
        <v>37</v>
      </c>
      <c r="B9" s="15">
        <f>B8*B7*B6</f>
        <v>449219.04310352198</v>
      </c>
      <c r="E9" s="23" t="s">
        <v>307</v>
      </c>
      <c r="F9" s="26">
        <v>250</v>
      </c>
      <c r="I9" t="s">
        <v>37</v>
      </c>
      <c r="J9" s="15">
        <f>J8*J7*J6</f>
        <v>517025.10705798818</v>
      </c>
      <c r="M9" s="23" t="s">
        <v>36</v>
      </c>
      <c r="N9" s="26">
        <f>N8/12</f>
        <v>7300</v>
      </c>
    </row>
    <row r="10" spans="1:14" x14ac:dyDescent="0.2">
      <c r="A10" t="s">
        <v>38</v>
      </c>
      <c r="B10" s="15">
        <f>B9-B4</f>
        <v>119219.04310352198</v>
      </c>
      <c r="E10" s="23" t="s">
        <v>293</v>
      </c>
      <c r="F10" s="26">
        <f>(F6/12) - SUM(F7:F9)</f>
        <v>9355</v>
      </c>
      <c r="I10" t="s">
        <v>38</v>
      </c>
      <c r="J10" s="15">
        <f>J9-J4</f>
        <v>187025.10705798818</v>
      </c>
      <c r="M10" s="21"/>
      <c r="N10" s="26"/>
    </row>
    <row r="11" spans="1:14" x14ac:dyDescent="0.2">
      <c r="B11" s="15" t="s">
        <v>39</v>
      </c>
      <c r="E11" s="23" t="s">
        <v>34</v>
      </c>
      <c r="F11" s="26">
        <f>F10*12*0.75</f>
        <v>84195</v>
      </c>
      <c r="J11" s="15" t="s">
        <v>39</v>
      </c>
      <c r="M11" s="50" t="s">
        <v>295</v>
      </c>
      <c r="N11" s="26"/>
    </row>
    <row r="12" spans="1:14" x14ac:dyDescent="0.2">
      <c r="A12" t="s">
        <v>41</v>
      </c>
      <c r="B12" s="29">
        <f>(0.001*12*B2)+500</f>
        <v>6260</v>
      </c>
      <c r="C12" s="15"/>
      <c r="D12" s="65"/>
      <c r="E12" s="23" t="s">
        <v>36</v>
      </c>
      <c r="F12" s="26">
        <f>F11/12</f>
        <v>7016.25</v>
      </c>
      <c r="I12" t="s">
        <v>41</v>
      </c>
      <c r="J12" s="29">
        <f>(0.001*12*J2)+500</f>
        <v>6020</v>
      </c>
      <c r="K12" s="4"/>
      <c r="M12" s="27" t="s">
        <v>40</v>
      </c>
      <c r="N12" s="28">
        <f>J16/N7</f>
        <v>0.21090475196055228</v>
      </c>
    </row>
    <row r="13" spans="1:14" x14ac:dyDescent="0.2">
      <c r="A13" t="s">
        <v>42</v>
      </c>
      <c r="B13" s="29">
        <f>(0.027/100)*B2*12</f>
        <v>1555.1999999999998</v>
      </c>
      <c r="C13" s="4"/>
      <c r="D13" s="4"/>
      <c r="E13" s="21"/>
      <c r="F13" s="26"/>
      <c r="I13" t="s">
        <v>42</v>
      </c>
      <c r="J13" s="29">
        <f>(0.027/100)*J2*12</f>
        <v>1490.4</v>
      </c>
      <c r="M13" s="27" t="s">
        <v>292</v>
      </c>
      <c r="N13" s="28">
        <f>((-N20)+J16)/N7</f>
        <v>0.41090475196055232</v>
      </c>
    </row>
    <row r="14" spans="1:14" x14ac:dyDescent="0.2">
      <c r="A14" t="s">
        <v>44</v>
      </c>
      <c r="B14" s="29">
        <v>47</v>
      </c>
      <c r="E14" s="50" t="s">
        <v>295</v>
      </c>
      <c r="F14" s="26"/>
      <c r="I14" t="s">
        <v>44</v>
      </c>
      <c r="J14" s="29">
        <v>47</v>
      </c>
      <c r="K14" s="15"/>
      <c r="M14" s="21"/>
      <c r="N14" s="26"/>
    </row>
    <row r="15" spans="1:14" x14ac:dyDescent="0.2">
      <c r="B15" s="15"/>
      <c r="E15" s="27" t="s">
        <v>40</v>
      </c>
      <c r="F15" s="28">
        <f>B16/F10</f>
        <v>0.27472075677156688</v>
      </c>
      <c r="J15" s="15"/>
      <c r="M15" s="50" t="s">
        <v>294</v>
      </c>
      <c r="N15" s="26"/>
    </row>
    <row r="16" spans="1:14" x14ac:dyDescent="0.2">
      <c r="A16" s="19" t="s">
        <v>47</v>
      </c>
      <c r="B16" s="38">
        <f>SUM(B8,B12/12,B13/12,B14)</f>
        <v>2570.0126795980082</v>
      </c>
      <c r="C16" s="4"/>
      <c r="E16" s="27" t="s">
        <v>292</v>
      </c>
      <c r="F16" s="28">
        <f>((-F23)+B16)/F10</f>
        <v>0.48851017419540443</v>
      </c>
      <c r="I16" s="19" t="s">
        <v>47</v>
      </c>
      <c r="J16" s="38">
        <f>SUM(J8,J12/12,J13/12,J14)</f>
        <v>2109.0475196055227</v>
      </c>
      <c r="K16" s="4"/>
      <c r="M16" s="27" t="s">
        <v>40</v>
      </c>
      <c r="N16" s="28">
        <f>J16/N9</f>
        <v>0.2889106191240442</v>
      </c>
    </row>
    <row r="17" spans="1:14" x14ac:dyDescent="0.2">
      <c r="E17" s="21"/>
      <c r="F17" s="26"/>
      <c r="M17" s="27" t="s">
        <v>292</v>
      </c>
      <c r="N17" s="28">
        <f>((-N20)+J16)/N9</f>
        <v>0.56288322186377027</v>
      </c>
    </row>
    <row r="18" spans="1:14" x14ac:dyDescent="0.2">
      <c r="A18" s="32" t="s">
        <v>48</v>
      </c>
      <c r="B18" s="33">
        <f>B4*0.045</f>
        <v>14850</v>
      </c>
      <c r="E18" s="50" t="s">
        <v>294</v>
      </c>
      <c r="F18" s="26"/>
      <c r="I18" s="32" t="s">
        <v>48</v>
      </c>
      <c r="J18" s="33">
        <f>J4*0.045</f>
        <v>14850</v>
      </c>
      <c r="M18" s="21"/>
      <c r="N18" s="26"/>
    </row>
    <row r="19" spans="1:14" x14ac:dyDescent="0.2">
      <c r="E19" s="27" t="s">
        <v>40</v>
      </c>
      <c r="F19" s="28">
        <f>B16/F12</f>
        <v>0.36629434236208919</v>
      </c>
      <c r="M19" s="30" t="s">
        <v>43</v>
      </c>
      <c r="N19" s="26">
        <f>N9-J16</f>
        <v>5190.9524803944769</v>
      </c>
    </row>
    <row r="20" spans="1:14" x14ac:dyDescent="0.2">
      <c r="E20" s="27" t="s">
        <v>292</v>
      </c>
      <c r="F20" s="28">
        <f>((-F23)+B16)/F12</f>
        <v>0.65134689892720599</v>
      </c>
      <c r="M20" s="23" t="s">
        <v>45</v>
      </c>
      <c r="N20" s="26">
        <v>-2000</v>
      </c>
    </row>
    <row r="21" spans="1:14" x14ac:dyDescent="0.2">
      <c r="E21" s="21"/>
      <c r="F21" s="26"/>
      <c r="M21" s="21" t="s">
        <v>46</v>
      </c>
      <c r="N21" s="31">
        <f>SUM(N19:N20)</f>
        <v>3190.9524803944769</v>
      </c>
    </row>
    <row r="22" spans="1:14" x14ac:dyDescent="0.2">
      <c r="E22" s="30" t="s">
        <v>43</v>
      </c>
      <c r="F22" s="26">
        <f>F12-B16</f>
        <v>4446.2373204019914</v>
      </c>
    </row>
    <row r="23" spans="1:14" x14ac:dyDescent="0.2">
      <c r="E23" s="23" t="s">
        <v>45</v>
      </c>
      <c r="F23" s="26">
        <v>-2000</v>
      </c>
    </row>
    <row r="24" spans="1:14" x14ac:dyDescent="0.2">
      <c r="E24" s="21" t="s">
        <v>46</v>
      </c>
      <c r="F24" s="31">
        <f>SUM(F22:F23)</f>
        <v>2446.2373204019914</v>
      </c>
    </row>
    <row r="27" spans="1:14" x14ac:dyDescent="0.2">
      <c r="E27" t="s">
        <v>308</v>
      </c>
      <c r="F27">
        <v>1000</v>
      </c>
    </row>
    <row r="28" spans="1:14" x14ac:dyDescent="0.2">
      <c r="E28" s="15" t="s">
        <v>309</v>
      </c>
      <c r="F28" s="4">
        <v>300</v>
      </c>
    </row>
    <row r="29" spans="1:14" x14ac:dyDescent="0.2">
      <c r="E29" t="s">
        <v>310</v>
      </c>
      <c r="F29">
        <v>1000</v>
      </c>
    </row>
    <row r="32" spans="1:14" x14ac:dyDescent="0.2">
      <c r="F32">
        <f>6756-1500-1400</f>
        <v>3856</v>
      </c>
      <c r="H32" s="3"/>
    </row>
    <row r="33" spans="5:6" x14ac:dyDescent="0.2">
      <c r="E33" t="s">
        <v>311</v>
      </c>
      <c r="F33">
        <f>F32-1500</f>
        <v>2356</v>
      </c>
    </row>
    <row r="34" spans="5:6" x14ac:dyDescent="0.2">
      <c r="E34" t="s">
        <v>312</v>
      </c>
      <c r="F34">
        <f>F33*6</f>
        <v>14136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7C55E-1706-4B23-937B-FA588A8AFE68}">
  <dimension ref="A1:J32"/>
  <sheetViews>
    <sheetView workbookViewId="0">
      <selection activeCell="J17" sqref="J17"/>
    </sheetView>
  </sheetViews>
  <sheetFormatPr defaultRowHeight="14.25" x14ac:dyDescent="0.2"/>
  <cols>
    <col min="1" max="1" width="34.5" bestFit="1" customWidth="1"/>
    <col min="2" max="2" width="9.625" bestFit="1" customWidth="1"/>
    <col min="5" max="5" width="32.5" bestFit="1" customWidth="1"/>
    <col min="6" max="6" width="9.625" bestFit="1" customWidth="1"/>
    <col min="9" max="9" width="33" customWidth="1"/>
    <col min="10" max="10" width="11.125" bestFit="1" customWidth="1"/>
  </cols>
  <sheetData>
    <row r="1" spans="1:10" x14ac:dyDescent="0.2">
      <c r="A1" s="54" t="s">
        <v>313</v>
      </c>
      <c r="B1" s="51"/>
      <c r="C1" s="51"/>
      <c r="D1" s="51"/>
      <c r="E1" s="54" t="s">
        <v>314</v>
      </c>
      <c r="F1" s="51"/>
      <c r="G1" s="51"/>
      <c r="H1" s="51"/>
      <c r="I1" s="51"/>
      <c r="J1" s="51"/>
    </row>
    <row r="2" spans="1:10" x14ac:dyDescent="0.2">
      <c r="A2" s="51" t="s">
        <v>24</v>
      </c>
      <c r="B2" s="55">
        <f>'Monthly Payment'!B2</f>
        <v>480000</v>
      </c>
      <c r="C2" s="51"/>
      <c r="D2" s="51"/>
      <c r="E2" s="54"/>
      <c r="F2" s="51"/>
      <c r="G2" s="51"/>
      <c r="H2" s="51"/>
      <c r="I2" s="51"/>
      <c r="J2" s="51"/>
    </row>
    <row r="3" spans="1:10" x14ac:dyDescent="0.2">
      <c r="A3" s="51" t="s">
        <v>319</v>
      </c>
      <c r="B3" s="55">
        <f>'Monthly Payment'!B3</f>
        <v>150000</v>
      </c>
      <c r="C3" s="51"/>
      <c r="D3" s="51"/>
      <c r="E3" s="51" t="s">
        <v>24</v>
      </c>
      <c r="F3" s="55">
        <f>'Monthly Payment'!$B$2</f>
        <v>480000</v>
      </c>
      <c r="G3" s="51"/>
      <c r="H3" s="51"/>
      <c r="I3" s="51"/>
      <c r="J3" s="51"/>
    </row>
    <row r="4" spans="1:10" x14ac:dyDescent="0.2">
      <c r="A4" s="51" t="s">
        <v>320</v>
      </c>
      <c r="B4" s="52">
        <f>'Monthly Payment'!B3+F11</f>
        <v>151313.4</v>
      </c>
      <c r="C4" s="51"/>
      <c r="D4" s="51"/>
      <c r="E4" s="51" t="s">
        <v>25</v>
      </c>
      <c r="F4" s="52">
        <f>'Monthly Payment'!$B$3</f>
        <v>150000</v>
      </c>
      <c r="G4" s="51"/>
      <c r="H4" s="51"/>
      <c r="I4" s="51"/>
      <c r="J4" s="51"/>
    </row>
    <row r="5" spans="1:10" x14ac:dyDescent="0.2">
      <c r="A5" s="51" t="s">
        <v>346</v>
      </c>
      <c r="B5" s="52">
        <v>0</v>
      </c>
      <c r="C5" s="51"/>
      <c r="D5" s="51"/>
      <c r="E5" s="51" t="s">
        <v>27</v>
      </c>
      <c r="F5" s="52">
        <f>'Monthly Payment'!$B$4</f>
        <v>330000</v>
      </c>
      <c r="G5" s="51"/>
      <c r="H5" s="51"/>
      <c r="I5" s="51"/>
      <c r="J5" s="51"/>
    </row>
    <row r="6" spans="1:10" x14ac:dyDescent="0.2">
      <c r="A6" s="51" t="s">
        <v>27</v>
      </c>
      <c r="B6" s="52">
        <f>B2-B4-B5</f>
        <v>328686.59999999998</v>
      </c>
      <c r="C6" s="51"/>
      <c r="D6" s="51"/>
      <c r="E6" s="51" t="s">
        <v>29</v>
      </c>
      <c r="F6" s="56">
        <f>'Monthly Payment'!$B$5</f>
        <v>3.2500000000000001E-2</v>
      </c>
      <c r="G6" s="51"/>
      <c r="H6" s="51"/>
      <c r="I6" s="51"/>
      <c r="J6" s="51"/>
    </row>
    <row r="7" spans="1:10" x14ac:dyDescent="0.2">
      <c r="A7" s="51" t="s">
        <v>29</v>
      </c>
      <c r="B7" s="56">
        <f>'Monthly Payment'!B5</f>
        <v>3.2500000000000001E-2</v>
      </c>
      <c r="C7" s="51"/>
      <c r="D7" s="51"/>
      <c r="E7" s="51" t="s">
        <v>31</v>
      </c>
      <c r="F7" s="57">
        <f>'Monthly Payment'!$B$6</f>
        <v>20</v>
      </c>
      <c r="G7" s="51"/>
      <c r="H7" s="51"/>
      <c r="I7" s="51" t="s">
        <v>347</v>
      </c>
      <c r="J7" s="62">
        <f>(F11/('Monthly Payment'!B8-F15))/12</f>
        <v>5.2479939847982253</v>
      </c>
    </row>
    <row r="8" spans="1:10" x14ac:dyDescent="0.2">
      <c r="A8" s="51" t="s">
        <v>31</v>
      </c>
      <c r="B8" s="57">
        <f>'Monthly Payment'!B6</f>
        <v>20</v>
      </c>
      <c r="C8" s="51"/>
      <c r="D8" s="51"/>
      <c r="E8" s="51" t="s">
        <v>33</v>
      </c>
      <c r="F8" s="51">
        <f>'Monthly Payment'!$B$7</f>
        <v>12</v>
      </c>
      <c r="G8" s="51"/>
      <c r="H8" s="51"/>
      <c r="I8" s="51" t="s">
        <v>348</v>
      </c>
      <c r="J8" s="62">
        <f>(F11/(B18-F15))/12</f>
        <v>8.1642311837425527</v>
      </c>
    </row>
    <row r="9" spans="1:10" x14ac:dyDescent="0.2">
      <c r="A9" s="51" t="s">
        <v>33</v>
      </c>
      <c r="B9" s="51">
        <f>'Monthly Payment'!B7</f>
        <v>12</v>
      </c>
      <c r="C9" s="51"/>
      <c r="D9" s="51"/>
      <c r="E9" s="51"/>
      <c r="F9" s="51"/>
      <c r="G9" s="51"/>
      <c r="H9" s="51"/>
      <c r="I9" s="51"/>
      <c r="J9" s="51"/>
    </row>
    <row r="10" spans="1:10" x14ac:dyDescent="0.2">
      <c r="A10" s="51"/>
      <c r="B10" s="51"/>
      <c r="C10" s="51"/>
      <c r="D10" s="51"/>
      <c r="E10" s="54" t="s">
        <v>315</v>
      </c>
      <c r="F10" s="51"/>
      <c r="G10" s="51"/>
      <c r="H10" s="51"/>
      <c r="I10" s="51"/>
      <c r="J10" s="51"/>
    </row>
    <row r="11" spans="1:10" x14ac:dyDescent="0.2">
      <c r="A11" s="51"/>
      <c r="B11" s="51"/>
      <c r="C11" s="51"/>
      <c r="D11" s="51"/>
      <c r="E11" s="51" t="s">
        <v>316</v>
      </c>
      <c r="F11" s="55">
        <f>J18</f>
        <v>1313.3999999999874</v>
      </c>
      <c r="G11" s="51"/>
      <c r="H11" s="51"/>
      <c r="I11" s="51"/>
      <c r="J11" s="51"/>
    </row>
    <row r="12" spans="1:10" x14ac:dyDescent="0.2">
      <c r="A12" s="51"/>
      <c r="B12" s="51"/>
      <c r="C12" s="51"/>
      <c r="D12" s="51"/>
      <c r="E12" s="51" t="s">
        <v>317</v>
      </c>
      <c r="F12" s="63">
        <f>F11/(0.01*F5)</f>
        <v>0.39799999999999619</v>
      </c>
      <c r="G12" s="51"/>
      <c r="H12" s="51"/>
      <c r="I12" s="51"/>
      <c r="J12" s="51"/>
    </row>
    <row r="13" spans="1:10" x14ac:dyDescent="0.2">
      <c r="A13" s="51"/>
      <c r="B13" s="51"/>
      <c r="C13" s="51"/>
      <c r="D13" s="51"/>
      <c r="E13" s="51" t="s">
        <v>318</v>
      </c>
      <c r="F13" s="68">
        <f>J16/100</f>
        <v>3.125E-2</v>
      </c>
      <c r="G13" s="51"/>
      <c r="H13" s="51"/>
      <c r="I13" s="51"/>
      <c r="J13" s="51"/>
    </row>
    <row r="14" spans="1:10" x14ac:dyDescent="0.2">
      <c r="A14" s="51"/>
      <c r="B14" s="51"/>
      <c r="C14" s="51"/>
      <c r="D14" s="51"/>
      <c r="E14" s="51"/>
      <c r="F14" s="51"/>
      <c r="G14" s="51"/>
      <c r="H14" s="51"/>
      <c r="I14" s="51" t="s">
        <v>349</v>
      </c>
      <c r="J14" s="51"/>
    </row>
    <row r="15" spans="1:10" x14ac:dyDescent="0.2">
      <c r="A15" s="51"/>
      <c r="B15" s="51"/>
      <c r="C15" s="51"/>
      <c r="D15" s="51"/>
      <c r="E15" s="51" t="s">
        <v>35</v>
      </c>
      <c r="F15" s="52">
        <f>-PMT(F13/F8,F8*F7,F5)</f>
        <v>1850.8904250024984</v>
      </c>
      <c r="G15" s="51"/>
      <c r="H15" s="51"/>
      <c r="I15" s="51" t="s">
        <v>350</v>
      </c>
      <c r="J15" s="67">
        <v>101.75</v>
      </c>
    </row>
    <row r="16" spans="1:10" x14ac:dyDescent="0.2">
      <c r="A16" s="51"/>
      <c r="B16" s="51"/>
      <c r="C16" s="51"/>
      <c r="D16" s="51"/>
      <c r="E16" s="51" t="s">
        <v>37</v>
      </c>
      <c r="F16" s="52">
        <f>F15*F8*F7</f>
        <v>444213.70200059959</v>
      </c>
      <c r="G16" s="51"/>
      <c r="H16" s="51"/>
      <c r="I16" s="51" t="s">
        <v>352</v>
      </c>
      <c r="J16" s="67">
        <v>3.125</v>
      </c>
    </row>
    <row r="17" spans="1:10" x14ac:dyDescent="0.2">
      <c r="A17" s="51"/>
      <c r="B17" s="51"/>
      <c r="C17" s="51"/>
      <c r="D17" s="51"/>
      <c r="E17" s="51" t="s">
        <v>38</v>
      </c>
      <c r="F17" s="52">
        <f>F16-F5</f>
        <v>114213.70200059959</v>
      </c>
      <c r="G17" s="51"/>
      <c r="H17" s="51"/>
      <c r="I17" s="51" t="s">
        <v>317</v>
      </c>
      <c r="J17" s="67">
        <f>J15 - VLOOKUP($J$16,$I$21:$J$32,2,FALSE)</f>
        <v>0.39799999999999613</v>
      </c>
    </row>
    <row r="18" spans="1:10" x14ac:dyDescent="0.2">
      <c r="A18" s="51" t="s">
        <v>35</v>
      </c>
      <c r="B18" s="52">
        <f>-PMT(B7/B9,B9*B8,B6)</f>
        <v>1864.2964637998743</v>
      </c>
      <c r="C18" s="51"/>
      <c r="D18" s="51"/>
      <c r="E18" s="51"/>
      <c r="F18" s="52"/>
      <c r="G18" s="51"/>
      <c r="H18" s="51"/>
      <c r="I18" s="51" t="s">
        <v>353</v>
      </c>
      <c r="J18" s="67">
        <f>J17*(0.01*F5)</f>
        <v>1313.3999999999874</v>
      </c>
    </row>
    <row r="19" spans="1:10" x14ac:dyDescent="0.2">
      <c r="A19" s="51" t="s">
        <v>37</v>
      </c>
      <c r="B19" s="52">
        <f>B18*B9*B8</f>
        <v>447431.15131196985</v>
      </c>
      <c r="C19" s="51"/>
      <c r="D19" s="51"/>
      <c r="E19" s="51" t="s">
        <v>41</v>
      </c>
      <c r="F19" s="58">
        <f>B22</f>
        <v>6260</v>
      </c>
      <c r="G19" s="51"/>
      <c r="H19" s="51"/>
      <c r="I19" s="51"/>
      <c r="J19" s="51"/>
    </row>
    <row r="20" spans="1:10" x14ac:dyDescent="0.2">
      <c r="A20" s="51" t="s">
        <v>38</v>
      </c>
      <c r="B20" s="52">
        <f>B19-B6</f>
        <v>118744.55131196987</v>
      </c>
      <c r="C20" s="51"/>
      <c r="D20" s="51"/>
      <c r="E20" s="51" t="s">
        <v>42</v>
      </c>
      <c r="F20" s="58">
        <f>B23</f>
        <v>1555.1999999999998</v>
      </c>
      <c r="G20" s="51"/>
      <c r="H20" s="51"/>
      <c r="I20" s="51" t="s">
        <v>351</v>
      </c>
      <c r="J20" s="51"/>
    </row>
    <row r="21" spans="1:10" x14ac:dyDescent="0.2">
      <c r="A21" s="51"/>
      <c r="B21" s="52" t="str">
        <f>'Monthly Payment'!B11</f>
        <v xml:space="preserve"> </v>
      </c>
      <c r="C21" s="51"/>
      <c r="D21" s="51"/>
      <c r="E21" s="51" t="s">
        <v>44</v>
      </c>
      <c r="F21" s="58">
        <f>'[1]Monthly Payment'!B14</f>
        <v>47</v>
      </c>
      <c r="G21" s="51"/>
      <c r="H21" s="51"/>
      <c r="I21" s="66">
        <v>2.25</v>
      </c>
      <c r="J21" s="66">
        <v>96.004999999999995</v>
      </c>
    </row>
    <row r="22" spans="1:10" x14ac:dyDescent="0.2">
      <c r="A22" s="51" t="s">
        <v>41</v>
      </c>
      <c r="B22" s="58">
        <f>'Monthly Payment'!B12</f>
        <v>6260</v>
      </c>
      <c r="C22" s="51"/>
      <c r="D22" s="51"/>
      <c r="E22" s="51"/>
      <c r="F22" s="52"/>
      <c r="G22" s="51"/>
      <c r="H22" s="51"/>
      <c r="I22" s="66">
        <v>2.375</v>
      </c>
      <c r="J22" s="66">
        <v>96.75</v>
      </c>
    </row>
    <row r="23" spans="1:10" x14ac:dyDescent="0.2">
      <c r="A23" s="51" t="s">
        <v>42</v>
      </c>
      <c r="B23" s="58">
        <f>'Monthly Payment'!B13</f>
        <v>1555.1999999999998</v>
      </c>
      <c r="C23" s="51"/>
      <c r="D23" s="51"/>
      <c r="E23" s="54" t="s">
        <v>47</v>
      </c>
      <c r="F23" s="61">
        <f>SUM(F15,F19/12,F20/12,F21)</f>
        <v>2549.1570916691649</v>
      </c>
      <c r="G23" s="51"/>
      <c r="H23" s="51"/>
      <c r="I23" s="66">
        <v>2.4900000000000002</v>
      </c>
      <c r="J23" s="66">
        <v>97.42</v>
      </c>
    </row>
    <row r="24" spans="1:10" x14ac:dyDescent="0.2">
      <c r="A24" s="51" t="s">
        <v>44</v>
      </c>
      <c r="B24" s="58">
        <f>'Monthly Payment'!B14</f>
        <v>47</v>
      </c>
      <c r="C24" s="51"/>
      <c r="D24" s="51"/>
      <c r="E24" s="51"/>
      <c r="F24" s="51"/>
      <c r="G24" s="51"/>
      <c r="H24" s="51"/>
      <c r="I24" s="66">
        <v>2.5</v>
      </c>
      <c r="J24" s="66">
        <v>97.477000000000004</v>
      </c>
    </row>
    <row r="25" spans="1:10" x14ac:dyDescent="0.2">
      <c r="A25" s="51"/>
      <c r="B25" s="52"/>
      <c r="C25" s="51"/>
      <c r="D25" s="51"/>
      <c r="E25" s="59" t="s">
        <v>48</v>
      </c>
      <c r="F25" s="60">
        <f>F5*0.045</f>
        <v>14850</v>
      </c>
      <c r="G25" s="51"/>
      <c r="H25" s="51"/>
      <c r="I25" s="66">
        <v>2.625</v>
      </c>
      <c r="J25" s="66">
        <v>98.438999999999993</v>
      </c>
    </row>
    <row r="26" spans="1:10" x14ac:dyDescent="0.2">
      <c r="A26" s="54" t="s">
        <v>47</v>
      </c>
      <c r="B26" s="61">
        <f>SUM(B18,B22/12,B23/12,B24)</f>
        <v>2562.5631304665408</v>
      </c>
      <c r="C26" s="51"/>
      <c r="D26" s="51"/>
      <c r="G26" s="51"/>
      <c r="H26" s="51"/>
      <c r="I26" s="66">
        <v>2.75</v>
      </c>
      <c r="J26" s="66">
        <v>99.313999999999993</v>
      </c>
    </row>
    <row r="27" spans="1:10" x14ac:dyDescent="0.2">
      <c r="A27" s="51"/>
      <c r="B27" s="51"/>
      <c r="C27" s="51"/>
      <c r="D27" s="51"/>
      <c r="G27" s="51"/>
      <c r="H27" s="51"/>
      <c r="I27" s="66">
        <v>2.875</v>
      </c>
      <c r="J27" s="66">
        <v>99.995000000000005</v>
      </c>
    </row>
    <row r="28" spans="1:10" x14ac:dyDescent="0.2">
      <c r="A28" s="59" t="s">
        <v>48</v>
      </c>
      <c r="B28" s="60">
        <f>B6*0.045</f>
        <v>14790.896999999999</v>
      </c>
      <c r="I28" s="66">
        <v>2.99</v>
      </c>
      <c r="J28" s="66">
        <v>100.55</v>
      </c>
    </row>
    <row r="29" spans="1:10" x14ac:dyDescent="0.2">
      <c r="I29" s="66">
        <v>3</v>
      </c>
      <c r="J29" s="66">
        <v>100.59699999999999</v>
      </c>
    </row>
    <row r="30" spans="1:10" x14ac:dyDescent="0.2">
      <c r="I30" s="66">
        <v>3.125</v>
      </c>
      <c r="J30" s="66">
        <v>101.352</v>
      </c>
    </row>
    <row r="31" spans="1:10" x14ac:dyDescent="0.2">
      <c r="I31" s="66">
        <v>3.25</v>
      </c>
      <c r="J31" s="66">
        <v>101.994</v>
      </c>
    </row>
    <row r="32" spans="1:10" x14ac:dyDescent="0.2">
      <c r="I32" s="66">
        <v>3.375</v>
      </c>
      <c r="J32" s="66">
        <v>102.577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731B-E84B-4145-8F70-EABA49FE189F}">
  <dimension ref="A1:D32"/>
  <sheetViews>
    <sheetView workbookViewId="0">
      <selection activeCell="C17" sqref="C17"/>
    </sheetView>
  </sheetViews>
  <sheetFormatPr defaultRowHeight="14.25" x14ac:dyDescent="0.2"/>
  <cols>
    <col min="1" max="1" width="97.875" style="53" customWidth="1"/>
    <col min="2" max="2" width="32.125" customWidth="1"/>
    <col min="3" max="3" width="17.875" customWidth="1"/>
    <col min="4" max="4" width="81.375" style="53" customWidth="1"/>
  </cols>
  <sheetData>
    <row r="1" spans="1:4" x14ac:dyDescent="0.2">
      <c r="A1" s="53" t="s">
        <v>321</v>
      </c>
      <c r="C1" s="50" t="s">
        <v>338</v>
      </c>
      <c r="D1" s="69" t="s">
        <v>355</v>
      </c>
    </row>
    <row r="2" spans="1:4" x14ac:dyDescent="0.2">
      <c r="A2" s="53" t="s">
        <v>322</v>
      </c>
      <c r="B2" s="73" t="s">
        <v>325</v>
      </c>
      <c r="C2" s="21" t="s">
        <v>339</v>
      </c>
      <c r="D2" s="30"/>
    </row>
    <row r="3" spans="1:4" ht="28.5" x14ac:dyDescent="0.2">
      <c r="A3" s="53" t="s">
        <v>323</v>
      </c>
      <c r="B3" s="73"/>
      <c r="C3" s="21" t="s">
        <v>340</v>
      </c>
      <c r="D3" s="30"/>
    </row>
    <row r="4" spans="1:4" x14ac:dyDescent="0.2">
      <c r="A4" s="53" t="s">
        <v>324</v>
      </c>
      <c r="B4" s="73"/>
      <c r="C4" s="21" t="s">
        <v>341</v>
      </c>
      <c r="D4" s="30" t="s">
        <v>356</v>
      </c>
    </row>
    <row r="5" spans="1:4" ht="28.5" x14ac:dyDescent="0.2">
      <c r="A5" s="53" t="s">
        <v>326</v>
      </c>
      <c r="C5" s="21" t="s">
        <v>342</v>
      </c>
      <c r="D5" s="30" t="s">
        <v>361</v>
      </c>
    </row>
    <row r="6" spans="1:4" x14ac:dyDescent="0.2">
      <c r="A6" s="64" t="s">
        <v>327</v>
      </c>
      <c r="C6" s="21" t="s">
        <v>343</v>
      </c>
      <c r="D6" s="30" t="s">
        <v>354</v>
      </c>
    </row>
    <row r="7" spans="1:4" x14ac:dyDescent="0.2">
      <c r="A7" s="64" t="s">
        <v>328</v>
      </c>
      <c r="C7" s="21" t="s">
        <v>357</v>
      </c>
      <c r="D7" s="30" t="s">
        <v>358</v>
      </c>
    </row>
    <row r="8" spans="1:4" ht="28.5" x14ac:dyDescent="0.2">
      <c r="A8" s="64" t="s">
        <v>329</v>
      </c>
      <c r="C8" s="21" t="s">
        <v>359</v>
      </c>
      <c r="D8" s="30" t="s">
        <v>360</v>
      </c>
    </row>
    <row r="9" spans="1:4" x14ac:dyDescent="0.2">
      <c r="A9" s="64" t="s">
        <v>330</v>
      </c>
      <c r="C9" s="21" t="s">
        <v>344</v>
      </c>
      <c r="D9" s="30"/>
    </row>
    <row r="10" spans="1:4" x14ac:dyDescent="0.2">
      <c r="A10" s="64" t="s">
        <v>331</v>
      </c>
      <c r="C10" s="21" t="s">
        <v>345</v>
      </c>
      <c r="D10" s="30"/>
    </row>
    <row r="11" spans="1:4" x14ac:dyDescent="0.2">
      <c r="A11" s="64" t="s">
        <v>332</v>
      </c>
    </row>
    <row r="12" spans="1:4" x14ac:dyDescent="0.2">
      <c r="A12" s="64" t="s">
        <v>333</v>
      </c>
    </row>
    <row r="13" spans="1:4" x14ac:dyDescent="0.2">
      <c r="A13" s="64" t="s">
        <v>334</v>
      </c>
    </row>
    <row r="14" spans="1:4" x14ac:dyDescent="0.2">
      <c r="A14" s="64" t="s">
        <v>335</v>
      </c>
    </row>
    <row r="15" spans="1:4" x14ac:dyDescent="0.2">
      <c r="A15" s="64" t="s">
        <v>336</v>
      </c>
    </row>
    <row r="16" spans="1:4" ht="28.5" x14ac:dyDescent="0.2">
      <c r="A16" s="64" t="s">
        <v>337</v>
      </c>
      <c r="C16" t="s">
        <v>384</v>
      </c>
    </row>
    <row r="20" spans="1:2" x14ac:dyDescent="0.2">
      <c r="A20" s="53" t="s">
        <v>362</v>
      </c>
    </row>
    <row r="21" spans="1:2" x14ac:dyDescent="0.2">
      <c r="A21" s="53" t="s">
        <v>363</v>
      </c>
    </row>
    <row r="22" spans="1:2" x14ac:dyDescent="0.2">
      <c r="A22" s="53" t="s">
        <v>364</v>
      </c>
    </row>
    <row r="23" spans="1:2" x14ac:dyDescent="0.2">
      <c r="A23" s="70" t="s">
        <v>368</v>
      </c>
    </row>
    <row r="24" spans="1:2" x14ac:dyDescent="0.2">
      <c r="A24" s="70" t="s">
        <v>369</v>
      </c>
    </row>
    <row r="25" spans="1:2" x14ac:dyDescent="0.2">
      <c r="A25" s="70" t="s">
        <v>370</v>
      </c>
    </row>
    <row r="26" spans="1:2" x14ac:dyDescent="0.2">
      <c r="A26" s="70" t="s">
        <v>371</v>
      </c>
    </row>
    <row r="27" spans="1:2" x14ac:dyDescent="0.2">
      <c r="A27" s="70" t="s">
        <v>372</v>
      </c>
      <c r="B27" s="10">
        <v>200</v>
      </c>
    </row>
    <row r="28" spans="1:2" x14ac:dyDescent="0.2">
      <c r="A28" s="53" t="s">
        <v>365</v>
      </c>
    </row>
    <row r="29" spans="1:2" x14ac:dyDescent="0.2">
      <c r="A29" s="53" t="s">
        <v>366</v>
      </c>
    </row>
    <row r="30" spans="1:2" x14ac:dyDescent="0.2">
      <c r="A30" s="53" t="s">
        <v>367</v>
      </c>
    </row>
    <row r="31" spans="1:2" x14ac:dyDescent="0.2">
      <c r="A31" s="53" t="s">
        <v>373</v>
      </c>
    </row>
    <row r="32" spans="1:2" x14ac:dyDescent="0.2">
      <c r="A32" s="53" t="s">
        <v>374</v>
      </c>
    </row>
  </sheetData>
  <mergeCells count="1">
    <mergeCell ref="B2:B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FEF4F-CD8A-43B1-BE38-BC54C457B7F4}">
  <dimension ref="A1:N23"/>
  <sheetViews>
    <sheetView workbookViewId="0">
      <selection activeCell="D3" sqref="D3"/>
    </sheetView>
  </sheetViews>
  <sheetFormatPr defaultRowHeight="14.25" x14ac:dyDescent="0.2"/>
  <cols>
    <col min="1" max="1" width="12.125" style="1" bestFit="1" customWidth="1"/>
    <col min="2" max="2" width="15" style="68" bestFit="1" customWidth="1"/>
    <col min="3" max="3" width="15.125" style="68" bestFit="1" customWidth="1"/>
    <col min="4" max="4" width="9.875" style="68" bestFit="1" customWidth="1"/>
    <col min="5" max="5" width="15.5" style="68" bestFit="1" customWidth="1"/>
    <col min="6" max="6" width="13.25" style="68" bestFit="1" customWidth="1"/>
    <col min="7" max="7" width="10.125" style="68" bestFit="1" customWidth="1"/>
    <col min="8" max="8" width="14.25" style="68" bestFit="1" customWidth="1"/>
    <col min="9" max="9" width="13.125" style="68" bestFit="1" customWidth="1"/>
    <col min="13" max="13" width="11.75" bestFit="1" customWidth="1"/>
  </cols>
  <sheetData>
    <row r="1" spans="1:14" x14ac:dyDescent="0.2">
      <c r="A1" s="1" t="s">
        <v>375</v>
      </c>
      <c r="B1" s="68" t="s">
        <v>376</v>
      </c>
      <c r="C1" s="68" t="s">
        <v>342</v>
      </c>
      <c r="D1" s="71" t="s">
        <v>377</v>
      </c>
      <c r="E1" s="71" t="s">
        <v>341</v>
      </c>
      <c r="F1" s="71" t="s">
        <v>378</v>
      </c>
      <c r="G1" s="71" t="s">
        <v>379</v>
      </c>
      <c r="H1" s="68" t="s">
        <v>380</v>
      </c>
      <c r="I1" s="68" t="s">
        <v>381</v>
      </c>
      <c r="J1" s="72" t="s">
        <v>382</v>
      </c>
    </row>
    <row r="2" spans="1:14" x14ac:dyDescent="0.2">
      <c r="A2" s="1">
        <v>44590</v>
      </c>
      <c r="D2" s="68">
        <v>3.2500000000000001E-2</v>
      </c>
      <c r="E2" s="68">
        <v>2.8750000000000001E-2</v>
      </c>
      <c r="F2" s="68">
        <v>0.03</v>
      </c>
      <c r="G2" s="68">
        <v>3.2500000000000001E-2</v>
      </c>
      <c r="H2" s="68">
        <v>3.2500000000000001E-2</v>
      </c>
      <c r="J2" s="68">
        <v>3.49E-2</v>
      </c>
      <c r="M2" t="s">
        <v>27</v>
      </c>
      <c r="N2">
        <f>480000-150000</f>
        <v>330000</v>
      </c>
    </row>
    <row r="3" spans="1:14" x14ac:dyDescent="0.2">
      <c r="A3" s="1">
        <v>44591</v>
      </c>
      <c r="D3" s="68">
        <v>0.03</v>
      </c>
      <c r="E3" s="68">
        <v>2.8750000000000001E-2</v>
      </c>
      <c r="F3" s="68">
        <v>0.03</v>
      </c>
      <c r="G3" s="68">
        <v>3.2500000000000001E-2</v>
      </c>
      <c r="J3" s="68">
        <v>3.49E-2</v>
      </c>
      <c r="M3" t="s">
        <v>317</v>
      </c>
      <c r="N3">
        <v>0.40300000000000002</v>
      </c>
    </row>
    <row r="4" spans="1:14" x14ac:dyDescent="0.2">
      <c r="A4" s="1">
        <v>44592</v>
      </c>
      <c r="M4" t="s">
        <v>383</v>
      </c>
      <c r="N4">
        <f>N3*N2*0.01</f>
        <v>1329.9</v>
      </c>
    </row>
    <row r="5" spans="1:14" x14ac:dyDescent="0.2">
      <c r="A5" s="1">
        <v>44593</v>
      </c>
    </row>
    <row r="6" spans="1:14" x14ac:dyDescent="0.2">
      <c r="A6" s="1">
        <v>44594</v>
      </c>
    </row>
    <row r="7" spans="1:14" x14ac:dyDescent="0.2">
      <c r="A7" s="1">
        <v>44595</v>
      </c>
    </row>
    <row r="8" spans="1:14" x14ac:dyDescent="0.2">
      <c r="A8" s="1">
        <v>44596</v>
      </c>
    </row>
    <row r="9" spans="1:14" x14ac:dyDescent="0.2">
      <c r="A9" s="1">
        <v>44597</v>
      </c>
    </row>
    <row r="10" spans="1:14" x14ac:dyDescent="0.2">
      <c r="A10" s="1">
        <v>44598</v>
      </c>
    </row>
    <row r="11" spans="1:14" x14ac:dyDescent="0.2">
      <c r="A11" s="1">
        <v>44599</v>
      </c>
    </row>
    <row r="12" spans="1:14" x14ac:dyDescent="0.2">
      <c r="A12" s="1">
        <v>44600</v>
      </c>
    </row>
    <row r="13" spans="1:14" x14ac:dyDescent="0.2">
      <c r="A13" s="1">
        <v>44601</v>
      </c>
    </row>
    <row r="14" spans="1:14" x14ac:dyDescent="0.2">
      <c r="A14" s="1">
        <v>44602</v>
      </c>
    </row>
    <row r="15" spans="1:14" x14ac:dyDescent="0.2">
      <c r="A15" s="1">
        <v>44603</v>
      </c>
    </row>
    <row r="16" spans="1:14" x14ac:dyDescent="0.2">
      <c r="A16" s="1">
        <v>44604</v>
      </c>
    </row>
    <row r="17" spans="1:1" x14ac:dyDescent="0.2">
      <c r="A17" s="1">
        <v>44605</v>
      </c>
    </row>
    <row r="18" spans="1:1" x14ac:dyDescent="0.2">
      <c r="A18" s="1">
        <v>44606</v>
      </c>
    </row>
    <row r="19" spans="1:1" x14ac:dyDescent="0.2">
      <c r="A19" s="1">
        <v>44607</v>
      </c>
    </row>
    <row r="20" spans="1:1" x14ac:dyDescent="0.2">
      <c r="A20" s="1">
        <v>44608</v>
      </c>
    </row>
    <row r="21" spans="1:1" x14ac:dyDescent="0.2">
      <c r="A21" s="1">
        <v>44609</v>
      </c>
    </row>
    <row r="22" spans="1:1" x14ac:dyDescent="0.2">
      <c r="A22" s="1">
        <v>44610</v>
      </c>
    </row>
    <row r="23" spans="1:1" x14ac:dyDescent="0.2">
      <c r="A23" s="1">
        <v>44611</v>
      </c>
    </row>
  </sheetData>
  <hyperlinks>
    <hyperlink ref="D1" r:id="rId1" xr:uid="{27465F47-85DD-4F0D-AA17-77538DCAB7C5}"/>
    <hyperlink ref="E1" r:id="rId2" xr:uid="{D12CBFA3-E409-48ED-8B2B-904C7617845E}"/>
    <hyperlink ref="F1" r:id="rId3" xr:uid="{2C2B3A61-BFAD-4745-ABF2-31D7CAEEDC36}"/>
    <hyperlink ref="G1" r:id="rId4" xr:uid="{9F014D9E-A5BC-43AD-A15E-F46B03F49793}"/>
    <hyperlink ref="J1" r:id="rId5" location="ratesResults" xr:uid="{7F85A296-2A8A-405F-B1C8-CE1BD76E7926}"/>
  </hyperlinks>
  <pageMargins left="0.7" right="0.7" top="0.75" bottom="0.75" header="0.3" footer="0.3"/>
  <legacyDrawing r:id="rId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77BC9-32A4-4BA0-A4CC-1A49E57284E2}">
  <dimension ref="A1:M267"/>
  <sheetViews>
    <sheetView tabSelected="1" workbookViewId="0">
      <selection activeCell="AQ20" sqref="AQ20"/>
    </sheetView>
  </sheetViews>
  <sheetFormatPr defaultRowHeight="14.25" x14ac:dyDescent="0.2"/>
  <cols>
    <col min="1" max="2" width="11.25" customWidth="1"/>
    <col min="3" max="3" width="11.25" style="62" customWidth="1"/>
    <col min="5" max="5" width="16" style="3" bestFit="1" customWidth="1"/>
    <col min="11" max="11" width="13.25" hidden="1" customWidth="1"/>
    <col min="12" max="12" width="18.375" hidden="1" customWidth="1"/>
    <col min="13" max="13" width="24.875" hidden="1" customWidth="1"/>
  </cols>
  <sheetData>
    <row r="1" spans="1:13" x14ac:dyDescent="0.2">
      <c r="A1" t="s">
        <v>385</v>
      </c>
      <c r="B1" t="s">
        <v>386</v>
      </c>
      <c r="C1" s="62" t="s">
        <v>387</v>
      </c>
      <c r="D1" t="s">
        <v>388</v>
      </c>
      <c r="E1" s="3" t="s">
        <v>389</v>
      </c>
    </row>
    <row r="2" spans="1:13" x14ac:dyDescent="0.2">
      <c r="A2">
        <v>2000</v>
      </c>
      <c r="B2">
        <v>1</v>
      </c>
      <c r="C2" s="62">
        <v>8.2099999999999991</v>
      </c>
      <c r="D2">
        <f>IF(B2=1,C2,D1)</f>
        <v>8.2099999999999991</v>
      </c>
      <c r="E2" s="3">
        <f>(C2-D2)/D2</f>
        <v>0</v>
      </c>
    </row>
    <row r="3" spans="1:13" x14ac:dyDescent="0.2">
      <c r="A3">
        <v>2000</v>
      </c>
      <c r="B3">
        <v>2</v>
      </c>
      <c r="C3" s="62">
        <v>8.3250000000000011</v>
      </c>
      <c r="D3" s="51">
        <f t="shared" ref="D3:D66" si="0">IF(B3=1,C3,D2)</f>
        <v>8.2099999999999991</v>
      </c>
      <c r="E3" s="3">
        <f t="shared" ref="E3:E66" si="1">(C3-D3)/D3</f>
        <v>1.4007308160779781E-2</v>
      </c>
      <c r="K3" s="74" t="s">
        <v>390</v>
      </c>
      <c r="L3" s="51" t="s">
        <v>392</v>
      </c>
      <c r="M3" s="51" t="s">
        <v>393</v>
      </c>
    </row>
    <row r="4" spans="1:13" x14ac:dyDescent="0.2">
      <c r="A4">
        <v>2000</v>
      </c>
      <c r="B4">
        <v>3</v>
      </c>
      <c r="C4" s="62">
        <v>8.24</v>
      </c>
      <c r="D4" s="51">
        <f t="shared" si="0"/>
        <v>8.2099999999999991</v>
      </c>
      <c r="E4" s="3">
        <f t="shared" si="1"/>
        <v>3.6540803897687139E-3</v>
      </c>
      <c r="K4" s="35">
        <v>2015</v>
      </c>
      <c r="L4" s="76">
        <v>46.188000000000002</v>
      </c>
      <c r="M4" s="76">
        <v>0.58528610354223432</v>
      </c>
    </row>
    <row r="5" spans="1:13" x14ac:dyDescent="0.2">
      <c r="A5">
        <v>2000</v>
      </c>
      <c r="B5">
        <v>4</v>
      </c>
      <c r="C5" s="62">
        <v>8.1524999999999999</v>
      </c>
      <c r="D5" s="51">
        <f t="shared" si="0"/>
        <v>8.2099999999999991</v>
      </c>
      <c r="E5" s="3">
        <f t="shared" si="1"/>
        <v>-7.0036540803896739E-3</v>
      </c>
      <c r="K5" s="75">
        <v>1</v>
      </c>
      <c r="L5" s="76">
        <v>3.67</v>
      </c>
      <c r="M5" s="76">
        <v>0</v>
      </c>
    </row>
    <row r="6" spans="1:13" x14ac:dyDescent="0.2">
      <c r="A6">
        <v>2000</v>
      </c>
      <c r="B6">
        <v>5</v>
      </c>
      <c r="C6" s="62">
        <v>8.5149999999999988</v>
      </c>
      <c r="D6" s="51">
        <f t="shared" si="0"/>
        <v>8.2099999999999991</v>
      </c>
      <c r="E6" s="3">
        <f t="shared" si="1"/>
        <v>3.7149817295980478E-2</v>
      </c>
      <c r="K6" s="75">
        <v>2</v>
      </c>
      <c r="L6" s="76">
        <v>3.71</v>
      </c>
      <c r="M6" s="76">
        <v>1.0899182561307912E-2</v>
      </c>
    </row>
    <row r="7" spans="1:13" x14ac:dyDescent="0.2">
      <c r="A7">
        <v>2000</v>
      </c>
      <c r="B7">
        <v>6</v>
      </c>
      <c r="C7" s="62">
        <v>8.2880000000000003</v>
      </c>
      <c r="D7" s="51">
        <f t="shared" si="0"/>
        <v>8.2099999999999991</v>
      </c>
      <c r="E7" s="3">
        <f t="shared" si="1"/>
        <v>9.5006090133984387E-3</v>
      </c>
      <c r="K7" s="75">
        <v>3</v>
      </c>
      <c r="L7" s="76">
        <v>3.7699999999999996</v>
      </c>
      <c r="M7" s="76">
        <v>2.7247956403269658E-2</v>
      </c>
    </row>
    <row r="8" spans="1:13" x14ac:dyDescent="0.2">
      <c r="A8">
        <v>2000</v>
      </c>
      <c r="B8">
        <v>7</v>
      </c>
      <c r="C8" s="62">
        <v>8.1475000000000009</v>
      </c>
      <c r="D8" s="51">
        <f t="shared" si="0"/>
        <v>8.2099999999999991</v>
      </c>
      <c r="E8" s="3">
        <f t="shared" si="1"/>
        <v>-7.6126674786843153E-3</v>
      </c>
      <c r="K8" s="75">
        <v>4</v>
      </c>
      <c r="L8" s="76">
        <v>3.6720000000000006</v>
      </c>
      <c r="M8" s="76">
        <v>5.4495912806557705E-4</v>
      </c>
    </row>
    <row r="9" spans="1:13" x14ac:dyDescent="0.2">
      <c r="A9">
        <v>2000</v>
      </c>
      <c r="B9">
        <v>8</v>
      </c>
      <c r="C9" s="62">
        <v>8.0274999999999999</v>
      </c>
      <c r="D9" s="51">
        <f t="shared" si="0"/>
        <v>8.2099999999999991</v>
      </c>
      <c r="E9" s="3">
        <f t="shared" si="1"/>
        <v>-2.2228989037758738E-2</v>
      </c>
      <c r="K9" s="75">
        <v>5</v>
      </c>
      <c r="L9" s="76">
        <v>3.84</v>
      </c>
      <c r="M9" s="76">
        <v>4.6321525885558566E-2</v>
      </c>
    </row>
    <row r="10" spans="1:13" x14ac:dyDescent="0.2">
      <c r="A10">
        <v>2000</v>
      </c>
      <c r="B10">
        <v>9</v>
      </c>
      <c r="C10" s="62">
        <v>7.9120000000000008</v>
      </c>
      <c r="D10" s="51">
        <f t="shared" si="0"/>
        <v>8.2099999999999991</v>
      </c>
      <c r="E10" s="3">
        <f t="shared" si="1"/>
        <v>-3.6297198538367638E-2</v>
      </c>
      <c r="K10" s="75">
        <v>6</v>
      </c>
      <c r="L10" s="76">
        <v>3.9824999999999999</v>
      </c>
      <c r="M10" s="76">
        <v>8.5149863760217992E-2</v>
      </c>
    </row>
    <row r="11" spans="1:13" x14ac:dyDescent="0.2">
      <c r="A11">
        <v>2000</v>
      </c>
      <c r="B11">
        <v>10</v>
      </c>
      <c r="C11" s="62">
        <v>7.7949999999999999</v>
      </c>
      <c r="D11" s="51">
        <f t="shared" si="0"/>
        <v>8.2099999999999991</v>
      </c>
      <c r="E11" s="3">
        <f t="shared" si="1"/>
        <v>-5.054811205846519E-2</v>
      </c>
      <c r="K11" s="75">
        <v>7</v>
      </c>
      <c r="L11" s="76">
        <v>4.0460000000000003</v>
      </c>
      <c r="M11" s="76">
        <v>0.10245231607629438</v>
      </c>
    </row>
    <row r="12" spans="1:13" x14ac:dyDescent="0.2">
      <c r="A12">
        <v>2000</v>
      </c>
      <c r="B12">
        <v>11</v>
      </c>
      <c r="C12" s="62">
        <v>7.7450000000000001</v>
      </c>
      <c r="D12" s="51">
        <f t="shared" si="0"/>
        <v>8.2099999999999991</v>
      </c>
      <c r="E12" s="3">
        <f t="shared" si="1"/>
        <v>-5.6638246041412793E-2</v>
      </c>
      <c r="K12" s="75">
        <v>8</v>
      </c>
      <c r="L12" s="76">
        <v>3.9049999999999998</v>
      </c>
      <c r="M12" s="76">
        <v>6.4032697547683898E-2</v>
      </c>
    </row>
    <row r="13" spans="1:13" x14ac:dyDescent="0.2">
      <c r="A13">
        <v>2000</v>
      </c>
      <c r="B13">
        <v>12</v>
      </c>
      <c r="C13" s="62">
        <v>7.3820000000000006</v>
      </c>
      <c r="D13" s="51">
        <f t="shared" si="0"/>
        <v>8.2099999999999991</v>
      </c>
      <c r="E13" s="3">
        <f t="shared" si="1"/>
        <v>-0.10085261875761249</v>
      </c>
      <c r="K13" s="75">
        <v>9</v>
      </c>
      <c r="L13" s="76">
        <v>3.8899999999999997</v>
      </c>
      <c r="M13" s="76">
        <v>5.9945504087193395E-2</v>
      </c>
    </row>
    <row r="14" spans="1:13" x14ac:dyDescent="0.2">
      <c r="A14">
        <v>2001</v>
      </c>
      <c r="B14">
        <v>1</v>
      </c>
      <c r="C14" s="62">
        <v>7.0325000000000006</v>
      </c>
      <c r="D14" s="51">
        <f t="shared" si="0"/>
        <v>7.0325000000000006</v>
      </c>
      <c r="E14" s="3">
        <f t="shared" si="1"/>
        <v>0</v>
      </c>
      <c r="K14" s="75">
        <v>10</v>
      </c>
      <c r="L14" s="76">
        <v>3.7959999999999994</v>
      </c>
      <c r="M14" s="76">
        <v>3.4332425068119739E-2</v>
      </c>
    </row>
    <row r="15" spans="1:13" x14ac:dyDescent="0.2">
      <c r="A15">
        <v>2001</v>
      </c>
      <c r="B15">
        <v>2</v>
      </c>
      <c r="C15" s="62">
        <v>7.05</v>
      </c>
      <c r="D15" s="51">
        <f t="shared" si="0"/>
        <v>7.0325000000000006</v>
      </c>
      <c r="E15" s="3">
        <f t="shared" si="1"/>
        <v>2.488446498400168E-3</v>
      </c>
      <c r="K15" s="75">
        <v>11</v>
      </c>
      <c r="L15" s="76">
        <v>3.9424999999999999</v>
      </c>
      <c r="M15" s="76">
        <v>7.4250681198910068E-2</v>
      </c>
    </row>
    <row r="16" spans="1:13" x14ac:dyDescent="0.2">
      <c r="A16">
        <v>2001</v>
      </c>
      <c r="B16">
        <v>3</v>
      </c>
      <c r="C16" s="62">
        <v>6.9520000000000008</v>
      </c>
      <c r="D16" s="51">
        <f t="shared" si="0"/>
        <v>7.0325000000000006</v>
      </c>
      <c r="E16" s="3">
        <f t="shared" si="1"/>
        <v>-1.1446853892641278E-2</v>
      </c>
      <c r="K16" s="75">
        <v>12</v>
      </c>
      <c r="L16" s="76">
        <v>3.964</v>
      </c>
      <c r="M16" s="76">
        <v>8.0108991825613096E-2</v>
      </c>
    </row>
    <row r="17" spans="1:13" x14ac:dyDescent="0.2">
      <c r="A17">
        <v>2001</v>
      </c>
      <c r="B17">
        <v>4</v>
      </c>
      <c r="C17" s="62">
        <v>7.0775000000000006</v>
      </c>
      <c r="D17" s="51">
        <f t="shared" si="0"/>
        <v>7.0325000000000006</v>
      </c>
      <c r="E17" s="3">
        <f t="shared" si="1"/>
        <v>6.3988624244578638E-3</v>
      </c>
      <c r="K17" s="35">
        <v>2016</v>
      </c>
      <c r="L17" s="76">
        <v>43.772500000000001</v>
      </c>
      <c r="M17" s="76">
        <v>-0.69657843770174399</v>
      </c>
    </row>
    <row r="18" spans="1:13" x14ac:dyDescent="0.2">
      <c r="A18">
        <v>2001</v>
      </c>
      <c r="B18">
        <v>5</v>
      </c>
      <c r="C18" s="62">
        <v>7.1449999999999996</v>
      </c>
      <c r="D18" s="51">
        <f t="shared" si="0"/>
        <v>7.0325000000000006</v>
      </c>
      <c r="E18" s="3">
        <f t="shared" si="1"/>
        <v>1.5997156061144532E-2</v>
      </c>
      <c r="K18" s="75">
        <v>1</v>
      </c>
      <c r="L18" s="76">
        <v>3.8725000000000005</v>
      </c>
      <c r="M18" s="76">
        <v>0</v>
      </c>
    </row>
    <row r="19" spans="1:13" x14ac:dyDescent="0.2">
      <c r="A19">
        <v>2001</v>
      </c>
      <c r="B19">
        <v>6</v>
      </c>
      <c r="C19" s="62">
        <v>7.160000000000001</v>
      </c>
      <c r="D19" s="51">
        <f t="shared" si="0"/>
        <v>7.0325000000000006</v>
      </c>
      <c r="E19" s="3">
        <f t="shared" si="1"/>
        <v>1.8130110202630698E-2</v>
      </c>
      <c r="K19" s="75">
        <v>2</v>
      </c>
      <c r="L19" s="76">
        <v>3.66</v>
      </c>
      <c r="M19" s="76">
        <v>-5.4874112330535914E-2</v>
      </c>
    </row>
    <row r="20" spans="1:13" x14ac:dyDescent="0.2">
      <c r="A20">
        <v>2001</v>
      </c>
      <c r="B20">
        <v>7</v>
      </c>
      <c r="C20" s="62">
        <v>7.1275000000000004</v>
      </c>
      <c r="D20" s="51">
        <f t="shared" si="0"/>
        <v>7.0325000000000006</v>
      </c>
      <c r="E20" s="3">
        <f t="shared" si="1"/>
        <v>1.3508709562744364E-2</v>
      </c>
      <c r="K20" s="75">
        <v>3</v>
      </c>
      <c r="L20" s="76">
        <v>3.6940000000000004</v>
      </c>
      <c r="M20" s="76">
        <v>-4.6094254357650119E-2</v>
      </c>
    </row>
    <row r="21" spans="1:13" x14ac:dyDescent="0.2">
      <c r="A21">
        <v>2001</v>
      </c>
      <c r="B21">
        <v>8</v>
      </c>
      <c r="C21" s="62">
        <v>6.95</v>
      </c>
      <c r="D21" s="51">
        <f t="shared" si="0"/>
        <v>7.0325000000000006</v>
      </c>
      <c r="E21" s="3">
        <f t="shared" si="1"/>
        <v>-1.1731247778172834E-2</v>
      </c>
      <c r="K21" s="75">
        <v>4</v>
      </c>
      <c r="L21" s="76">
        <v>3.605</v>
      </c>
      <c r="M21" s="76">
        <v>-6.9076823757262873E-2</v>
      </c>
    </row>
    <row r="22" spans="1:13" x14ac:dyDescent="0.2">
      <c r="A22">
        <v>2001</v>
      </c>
      <c r="B22">
        <v>9</v>
      </c>
      <c r="C22" s="62">
        <v>6.8174999999999999</v>
      </c>
      <c r="D22" s="51">
        <f t="shared" si="0"/>
        <v>7.0325000000000006</v>
      </c>
      <c r="E22" s="3">
        <f t="shared" si="1"/>
        <v>-3.057234269463217E-2</v>
      </c>
      <c r="K22" s="75">
        <v>5</v>
      </c>
      <c r="L22" s="76">
        <v>3.6</v>
      </c>
      <c r="M22" s="76">
        <v>-7.0367979341510747E-2</v>
      </c>
    </row>
    <row r="23" spans="1:13" x14ac:dyDescent="0.2">
      <c r="A23">
        <v>2001</v>
      </c>
      <c r="B23">
        <v>10</v>
      </c>
      <c r="C23" s="62">
        <v>6.6174999999999997</v>
      </c>
      <c r="D23" s="51">
        <f t="shared" si="0"/>
        <v>7.0325000000000006</v>
      </c>
      <c r="E23" s="3">
        <f t="shared" si="1"/>
        <v>-5.9011731247778296E-2</v>
      </c>
      <c r="K23" s="75">
        <v>6</v>
      </c>
      <c r="L23" s="76">
        <v>3.5680000000000001</v>
      </c>
      <c r="M23" s="76">
        <v>-7.8631375080697327E-2</v>
      </c>
    </row>
    <row r="24" spans="1:13" x14ac:dyDescent="0.2">
      <c r="A24">
        <v>2001</v>
      </c>
      <c r="B24">
        <v>11</v>
      </c>
      <c r="C24" s="62">
        <v>6.6579999999999995</v>
      </c>
      <c r="D24" s="51">
        <f t="shared" si="0"/>
        <v>7.0325000000000006</v>
      </c>
      <c r="E24" s="3">
        <f t="shared" si="1"/>
        <v>-5.3252755065766245E-2</v>
      </c>
      <c r="K24" s="75">
        <v>7</v>
      </c>
      <c r="L24" s="76">
        <v>3.4400000000000004</v>
      </c>
      <c r="M24" s="76">
        <v>-0.11168495803744352</v>
      </c>
    </row>
    <row r="25" spans="1:13" x14ac:dyDescent="0.2">
      <c r="A25">
        <v>2001</v>
      </c>
      <c r="B25">
        <v>12</v>
      </c>
      <c r="C25" s="62">
        <v>7.0650000000000004</v>
      </c>
      <c r="D25" s="51">
        <f t="shared" si="0"/>
        <v>7.0325000000000006</v>
      </c>
      <c r="E25" s="3">
        <f t="shared" si="1"/>
        <v>4.6214006398862069E-3</v>
      </c>
      <c r="K25" s="75">
        <v>8</v>
      </c>
      <c r="L25" s="76">
        <v>3.4350000000000001</v>
      </c>
      <c r="M25" s="76">
        <v>-0.11297611362169152</v>
      </c>
    </row>
    <row r="26" spans="1:13" x14ac:dyDescent="0.2">
      <c r="A26">
        <v>2002</v>
      </c>
      <c r="B26">
        <v>1</v>
      </c>
      <c r="C26" s="62">
        <v>6.9975000000000005</v>
      </c>
      <c r="D26" s="51">
        <f t="shared" si="0"/>
        <v>6.9975000000000005</v>
      </c>
      <c r="E26" s="3">
        <f t="shared" si="1"/>
        <v>0</v>
      </c>
      <c r="K26" s="75">
        <v>9</v>
      </c>
      <c r="L26" s="76">
        <v>3.46</v>
      </c>
      <c r="M26" s="76">
        <v>-0.10652033570045202</v>
      </c>
    </row>
    <row r="27" spans="1:13" x14ac:dyDescent="0.2">
      <c r="A27">
        <v>2002</v>
      </c>
      <c r="B27">
        <v>2</v>
      </c>
      <c r="C27" s="62">
        <v>6.8924999999999992</v>
      </c>
      <c r="D27" s="51">
        <f t="shared" si="0"/>
        <v>6.9975000000000005</v>
      </c>
      <c r="E27" s="3">
        <f t="shared" si="1"/>
        <v>-1.5005359056806189E-2</v>
      </c>
      <c r="K27" s="75">
        <v>10</v>
      </c>
      <c r="L27" s="76">
        <v>3.47</v>
      </c>
      <c r="M27" s="76">
        <v>-0.10393802453195616</v>
      </c>
    </row>
    <row r="28" spans="1:13" x14ac:dyDescent="0.2">
      <c r="A28">
        <v>2002</v>
      </c>
      <c r="B28">
        <v>3</v>
      </c>
      <c r="C28" s="62">
        <v>7.0140000000000002</v>
      </c>
      <c r="D28" s="51">
        <f t="shared" si="0"/>
        <v>6.9975000000000005</v>
      </c>
      <c r="E28" s="3">
        <f t="shared" si="1"/>
        <v>2.3579849946409053E-3</v>
      </c>
      <c r="K28" s="75">
        <v>11</v>
      </c>
      <c r="L28" s="76">
        <v>3.7699999999999996</v>
      </c>
      <c r="M28" s="76">
        <v>-2.6468689477082225E-2</v>
      </c>
    </row>
    <row r="29" spans="1:13" x14ac:dyDescent="0.2">
      <c r="A29">
        <v>2002</v>
      </c>
      <c r="B29">
        <v>4</v>
      </c>
      <c r="C29" s="62">
        <v>6.9850000000000003</v>
      </c>
      <c r="D29" s="51">
        <f t="shared" si="0"/>
        <v>6.9975000000000005</v>
      </c>
      <c r="E29" s="3">
        <f t="shared" si="1"/>
        <v>-1.7863522686674064E-3</v>
      </c>
      <c r="K29" s="75">
        <v>12</v>
      </c>
      <c r="L29" s="76">
        <v>4.1980000000000004</v>
      </c>
      <c r="M29" s="76">
        <v>8.4054228534538381E-2</v>
      </c>
    </row>
    <row r="30" spans="1:13" x14ac:dyDescent="0.2">
      <c r="A30">
        <v>2002</v>
      </c>
      <c r="B30">
        <v>5</v>
      </c>
      <c r="C30" s="62">
        <v>6.806</v>
      </c>
      <c r="D30" s="51">
        <f t="shared" si="0"/>
        <v>6.9975000000000005</v>
      </c>
      <c r="E30" s="3">
        <f t="shared" si="1"/>
        <v>-2.7366916755984343E-2</v>
      </c>
      <c r="K30" s="35">
        <v>2017</v>
      </c>
      <c r="L30" s="76">
        <v>47.892000000000003</v>
      </c>
      <c r="M30" s="76">
        <v>-0.45975903614457936</v>
      </c>
    </row>
    <row r="31" spans="1:13" x14ac:dyDescent="0.2">
      <c r="A31">
        <v>2002</v>
      </c>
      <c r="B31">
        <v>6</v>
      </c>
      <c r="C31" s="62">
        <v>6.65</v>
      </c>
      <c r="D31" s="51">
        <f t="shared" si="0"/>
        <v>6.9975000000000005</v>
      </c>
      <c r="E31" s="3">
        <f t="shared" si="1"/>
        <v>-4.9660593068953214E-2</v>
      </c>
      <c r="K31" s="75">
        <v>1</v>
      </c>
      <c r="L31" s="76">
        <v>4.1500000000000004</v>
      </c>
      <c r="M31" s="76">
        <v>0</v>
      </c>
    </row>
    <row r="32" spans="1:13" x14ac:dyDescent="0.2">
      <c r="A32">
        <v>2002</v>
      </c>
      <c r="B32">
        <v>7</v>
      </c>
      <c r="C32" s="62">
        <v>6.4850000000000003</v>
      </c>
      <c r="D32" s="51">
        <f t="shared" si="0"/>
        <v>6.9975000000000005</v>
      </c>
      <c r="E32" s="3">
        <f t="shared" si="1"/>
        <v>-7.3240443015362644E-2</v>
      </c>
      <c r="K32" s="75">
        <v>2</v>
      </c>
      <c r="L32" s="76">
        <v>4.1675000000000004</v>
      </c>
      <c r="M32" s="76">
        <v>4.2168674698795346E-3</v>
      </c>
    </row>
    <row r="33" spans="1:13" x14ac:dyDescent="0.2">
      <c r="A33">
        <v>2002</v>
      </c>
      <c r="B33">
        <v>8</v>
      </c>
      <c r="C33" s="62">
        <v>6.2899999999999991</v>
      </c>
      <c r="D33" s="51">
        <f t="shared" si="0"/>
        <v>6.9975000000000005</v>
      </c>
      <c r="E33" s="3">
        <f t="shared" si="1"/>
        <v>-0.10110753840657397</v>
      </c>
      <c r="K33" s="75">
        <v>3</v>
      </c>
      <c r="L33" s="76">
        <v>4.1959999999999997</v>
      </c>
      <c r="M33" s="76">
        <v>1.1084337349397439E-2</v>
      </c>
    </row>
    <row r="34" spans="1:13" x14ac:dyDescent="0.2">
      <c r="A34">
        <v>2002</v>
      </c>
      <c r="B34">
        <v>9</v>
      </c>
      <c r="C34" s="62">
        <v>6.0924999999999994</v>
      </c>
      <c r="D34" s="51">
        <f t="shared" si="0"/>
        <v>6.9975000000000005</v>
      </c>
      <c r="E34" s="3">
        <f t="shared" si="1"/>
        <v>-0.12933190425151855</v>
      </c>
      <c r="K34" s="75">
        <v>4</v>
      </c>
      <c r="L34" s="76">
        <v>4.0449999999999999</v>
      </c>
      <c r="M34" s="76">
        <v>-2.5301204819277209E-2</v>
      </c>
    </row>
    <row r="35" spans="1:13" x14ac:dyDescent="0.2">
      <c r="A35">
        <v>2002</v>
      </c>
      <c r="B35">
        <v>10</v>
      </c>
      <c r="C35" s="62">
        <v>6.1124999999999998</v>
      </c>
      <c r="D35" s="51">
        <f t="shared" si="0"/>
        <v>6.9975000000000005</v>
      </c>
      <c r="E35" s="3">
        <f t="shared" si="1"/>
        <v>-0.12647374062165068</v>
      </c>
      <c r="K35" s="75">
        <v>5</v>
      </c>
      <c r="L35" s="76">
        <v>4.01</v>
      </c>
      <c r="M35" s="76">
        <v>-3.3734939759036277E-2</v>
      </c>
    </row>
    <row r="36" spans="1:13" x14ac:dyDescent="0.2">
      <c r="A36">
        <v>2002</v>
      </c>
      <c r="B36">
        <v>11</v>
      </c>
      <c r="C36" s="62">
        <v>6.0679999999999996</v>
      </c>
      <c r="D36" s="51">
        <f t="shared" si="0"/>
        <v>6.9975000000000005</v>
      </c>
      <c r="E36" s="3">
        <f t="shared" si="1"/>
        <v>-0.13283315469810658</v>
      </c>
      <c r="K36" s="75">
        <v>6</v>
      </c>
      <c r="L36" s="76">
        <v>3.9039999999999999</v>
      </c>
      <c r="M36" s="76">
        <v>-5.9277108433735043E-2</v>
      </c>
    </row>
    <row r="37" spans="1:13" x14ac:dyDescent="0.2">
      <c r="A37">
        <v>2002</v>
      </c>
      <c r="B37">
        <v>12</v>
      </c>
      <c r="C37" s="62">
        <v>6.0475000000000003</v>
      </c>
      <c r="D37" s="51">
        <f t="shared" si="0"/>
        <v>6.9975000000000005</v>
      </c>
      <c r="E37" s="3">
        <f t="shared" si="1"/>
        <v>-0.13576277241872098</v>
      </c>
      <c r="K37" s="75">
        <v>7</v>
      </c>
      <c r="L37" s="76">
        <v>3.9674999999999998</v>
      </c>
      <c r="M37" s="76">
        <v>-4.397590361445796E-2</v>
      </c>
    </row>
    <row r="38" spans="1:13" x14ac:dyDescent="0.2">
      <c r="A38">
        <v>2003</v>
      </c>
      <c r="B38">
        <v>1</v>
      </c>
      <c r="C38" s="62">
        <v>5.9159999999999995</v>
      </c>
      <c r="D38" s="51">
        <f t="shared" si="0"/>
        <v>5.9159999999999995</v>
      </c>
      <c r="E38" s="3">
        <f t="shared" si="1"/>
        <v>0</v>
      </c>
      <c r="K38" s="75">
        <v>8</v>
      </c>
      <c r="L38" s="76">
        <v>3.88</v>
      </c>
      <c r="M38" s="76">
        <v>-6.5060240963855528E-2</v>
      </c>
    </row>
    <row r="39" spans="1:13" x14ac:dyDescent="0.2">
      <c r="A39">
        <v>2003</v>
      </c>
      <c r="B39">
        <v>2</v>
      </c>
      <c r="C39" s="62">
        <v>5.8424999999999994</v>
      </c>
      <c r="D39" s="51">
        <f t="shared" si="0"/>
        <v>5.9159999999999995</v>
      </c>
      <c r="E39" s="3">
        <f t="shared" si="1"/>
        <v>-1.2423935091277911E-2</v>
      </c>
      <c r="K39" s="75">
        <v>9</v>
      </c>
      <c r="L39" s="76">
        <v>3.8050000000000002</v>
      </c>
      <c r="M39" s="76">
        <v>-8.3132530120481968E-2</v>
      </c>
    </row>
    <row r="40" spans="1:13" x14ac:dyDescent="0.2">
      <c r="A40">
        <v>2003</v>
      </c>
      <c r="B40">
        <v>3</v>
      </c>
      <c r="C40" s="62">
        <v>5.7450000000000001</v>
      </c>
      <c r="D40" s="51">
        <f t="shared" si="0"/>
        <v>5.9159999999999995</v>
      </c>
      <c r="E40" s="3">
        <f t="shared" si="1"/>
        <v>-2.8904665314401518E-2</v>
      </c>
      <c r="K40" s="75">
        <v>10</v>
      </c>
      <c r="L40" s="76">
        <v>3.895</v>
      </c>
      <c r="M40" s="76">
        <v>-6.1445783132530199E-2</v>
      </c>
    </row>
    <row r="41" spans="1:13" x14ac:dyDescent="0.2">
      <c r="A41">
        <v>2003</v>
      </c>
      <c r="B41">
        <v>4</v>
      </c>
      <c r="C41" s="62">
        <v>5.8125</v>
      </c>
      <c r="D41" s="51">
        <f t="shared" si="0"/>
        <v>5.9159999999999995</v>
      </c>
      <c r="E41" s="3">
        <f t="shared" si="1"/>
        <v>-1.7494929006085107E-2</v>
      </c>
      <c r="K41" s="75">
        <v>11</v>
      </c>
      <c r="L41" s="76">
        <v>3.9219999999999997</v>
      </c>
      <c r="M41" s="76">
        <v>-5.4939759036144731E-2</v>
      </c>
    </row>
    <row r="42" spans="1:13" x14ac:dyDescent="0.2">
      <c r="A42">
        <v>2003</v>
      </c>
      <c r="B42">
        <v>5</v>
      </c>
      <c r="C42" s="62">
        <v>5.484</v>
      </c>
      <c r="D42" s="51">
        <f t="shared" si="0"/>
        <v>5.9159999999999995</v>
      </c>
      <c r="E42" s="3">
        <f t="shared" si="1"/>
        <v>-7.3022312373225068E-2</v>
      </c>
      <c r="K42" s="75">
        <v>12</v>
      </c>
      <c r="L42" s="76">
        <v>3.95</v>
      </c>
      <c r="M42" s="76">
        <v>-4.8192771084337387E-2</v>
      </c>
    </row>
    <row r="43" spans="1:13" x14ac:dyDescent="0.2">
      <c r="A43">
        <v>2003</v>
      </c>
      <c r="B43">
        <v>6</v>
      </c>
      <c r="C43" s="62">
        <v>5.23</v>
      </c>
      <c r="D43" s="51">
        <f t="shared" si="0"/>
        <v>5.9159999999999995</v>
      </c>
      <c r="E43" s="3">
        <f t="shared" si="1"/>
        <v>-0.1159567275185935</v>
      </c>
      <c r="K43" s="35">
        <v>2018</v>
      </c>
      <c r="L43" s="76">
        <v>54.468499999999999</v>
      </c>
      <c r="M43" s="76">
        <v>1.5073775573465569</v>
      </c>
    </row>
    <row r="44" spans="1:13" x14ac:dyDescent="0.2">
      <c r="A44">
        <v>2003</v>
      </c>
      <c r="B44">
        <v>7</v>
      </c>
      <c r="C44" s="62">
        <v>5.6325000000000003</v>
      </c>
      <c r="D44" s="51">
        <f t="shared" si="0"/>
        <v>5.9159999999999995</v>
      </c>
      <c r="E44" s="3">
        <f t="shared" si="1"/>
        <v>-4.7920892494928875E-2</v>
      </c>
      <c r="K44" s="75">
        <v>1</v>
      </c>
      <c r="L44" s="76">
        <v>4.0325000000000006</v>
      </c>
      <c r="M44" s="76">
        <v>0</v>
      </c>
    </row>
    <row r="45" spans="1:13" x14ac:dyDescent="0.2">
      <c r="A45">
        <v>2003</v>
      </c>
      <c r="B45">
        <v>8</v>
      </c>
      <c r="C45" s="62">
        <v>6.2640000000000002</v>
      </c>
      <c r="D45" s="51">
        <f t="shared" si="0"/>
        <v>5.9159999999999995</v>
      </c>
      <c r="E45" s="3">
        <f t="shared" si="1"/>
        <v>5.8823529411764837E-2</v>
      </c>
      <c r="K45" s="75">
        <v>2</v>
      </c>
      <c r="L45" s="76">
        <v>4.33</v>
      </c>
      <c r="M45" s="76">
        <v>7.3775573465591909E-2</v>
      </c>
    </row>
    <row r="46" spans="1:13" x14ac:dyDescent="0.2">
      <c r="A46">
        <v>2003</v>
      </c>
      <c r="B46">
        <v>9</v>
      </c>
      <c r="C46" s="62">
        <v>6.1475</v>
      </c>
      <c r="D46" s="51">
        <f t="shared" si="0"/>
        <v>5.9159999999999995</v>
      </c>
      <c r="E46" s="3">
        <f t="shared" si="1"/>
        <v>3.91311697092631E-2</v>
      </c>
      <c r="K46" s="75">
        <v>3</v>
      </c>
      <c r="L46" s="76">
        <v>4.4440000000000008</v>
      </c>
      <c r="M46" s="76">
        <v>0.10204587724736519</v>
      </c>
    </row>
    <row r="47" spans="1:13" x14ac:dyDescent="0.2">
      <c r="A47">
        <v>2003</v>
      </c>
      <c r="B47">
        <v>10</v>
      </c>
      <c r="C47" s="62">
        <v>5.952</v>
      </c>
      <c r="D47" s="51">
        <f t="shared" si="0"/>
        <v>5.9159999999999995</v>
      </c>
      <c r="E47" s="3">
        <f t="shared" si="1"/>
        <v>6.0851926977688433E-3</v>
      </c>
      <c r="K47" s="75">
        <v>4</v>
      </c>
      <c r="L47" s="76">
        <v>4.4674999999999994</v>
      </c>
      <c r="M47" s="76">
        <v>0.10787352758834437</v>
      </c>
    </row>
    <row r="48" spans="1:13" x14ac:dyDescent="0.2">
      <c r="A48">
        <v>2003</v>
      </c>
      <c r="B48">
        <v>11</v>
      </c>
      <c r="C48" s="62">
        <v>5.932500000000001</v>
      </c>
      <c r="D48" s="51">
        <f t="shared" si="0"/>
        <v>5.9159999999999995</v>
      </c>
      <c r="E48" s="3">
        <f t="shared" si="1"/>
        <v>2.7890466531442725E-3</v>
      </c>
      <c r="K48" s="75">
        <v>5</v>
      </c>
      <c r="L48" s="76">
        <v>4.5860000000000003</v>
      </c>
      <c r="M48" s="76">
        <v>0.13725976441413504</v>
      </c>
    </row>
    <row r="49" spans="1:13" x14ac:dyDescent="0.2">
      <c r="A49">
        <v>2003</v>
      </c>
      <c r="B49">
        <v>12</v>
      </c>
      <c r="C49" s="62">
        <v>5.8759999999999994</v>
      </c>
      <c r="D49" s="51">
        <f t="shared" si="0"/>
        <v>5.9159999999999995</v>
      </c>
      <c r="E49" s="3">
        <f t="shared" si="1"/>
        <v>-6.7613252197430765E-3</v>
      </c>
      <c r="K49" s="75">
        <v>6</v>
      </c>
      <c r="L49" s="76">
        <v>4.57</v>
      </c>
      <c r="M49" s="76">
        <v>0.1332920024798511</v>
      </c>
    </row>
    <row r="50" spans="1:13" x14ac:dyDescent="0.2">
      <c r="A50">
        <v>2004</v>
      </c>
      <c r="B50">
        <v>1</v>
      </c>
      <c r="C50" s="62">
        <v>5.7125000000000004</v>
      </c>
      <c r="D50" s="51">
        <f t="shared" si="0"/>
        <v>5.7125000000000004</v>
      </c>
      <c r="E50" s="3">
        <f t="shared" si="1"/>
        <v>0</v>
      </c>
      <c r="K50" s="75">
        <v>7</v>
      </c>
      <c r="L50" s="76">
        <v>4.5274999999999999</v>
      </c>
      <c r="M50" s="76">
        <v>0.12275263484190928</v>
      </c>
    </row>
    <row r="51" spans="1:13" x14ac:dyDescent="0.2">
      <c r="A51">
        <v>2004</v>
      </c>
      <c r="B51">
        <v>2</v>
      </c>
      <c r="C51" s="62">
        <v>5.6349999999999998</v>
      </c>
      <c r="D51" s="51">
        <f t="shared" si="0"/>
        <v>5.7125000000000004</v>
      </c>
      <c r="E51" s="3">
        <f t="shared" si="1"/>
        <v>-1.3566739606127013E-2</v>
      </c>
      <c r="K51" s="75">
        <v>8</v>
      </c>
      <c r="L51" s="76">
        <v>4.5499999999999989</v>
      </c>
      <c r="M51" s="76">
        <v>0.12833230006199584</v>
      </c>
    </row>
    <row r="52" spans="1:13" x14ac:dyDescent="0.2">
      <c r="A52">
        <v>2004</v>
      </c>
      <c r="B52">
        <v>3</v>
      </c>
      <c r="C52" s="62">
        <v>5.4450000000000003</v>
      </c>
      <c r="D52" s="51">
        <f t="shared" si="0"/>
        <v>5.7125000000000004</v>
      </c>
      <c r="E52" s="3">
        <f t="shared" si="1"/>
        <v>-4.682713347921226E-2</v>
      </c>
      <c r="K52" s="75">
        <v>9</v>
      </c>
      <c r="L52" s="76">
        <v>4.6275000000000004</v>
      </c>
      <c r="M52" s="76">
        <v>0.14755114693118404</v>
      </c>
    </row>
    <row r="53" spans="1:13" x14ac:dyDescent="0.2">
      <c r="A53">
        <v>2004</v>
      </c>
      <c r="B53">
        <v>4</v>
      </c>
      <c r="C53" s="62">
        <v>5.83</v>
      </c>
      <c r="D53" s="51">
        <f t="shared" si="0"/>
        <v>5.7125000000000004</v>
      </c>
      <c r="E53" s="3">
        <f t="shared" si="1"/>
        <v>2.0568927789934303E-2</v>
      </c>
      <c r="K53" s="75">
        <v>10</v>
      </c>
      <c r="L53" s="76">
        <v>4.83</v>
      </c>
      <c r="M53" s="76">
        <v>0.1977681339119651</v>
      </c>
    </row>
    <row r="54" spans="1:13" x14ac:dyDescent="0.2">
      <c r="A54">
        <v>2004</v>
      </c>
      <c r="B54">
        <v>5</v>
      </c>
      <c r="C54" s="62">
        <v>6.2700000000000005</v>
      </c>
      <c r="D54" s="51">
        <f t="shared" si="0"/>
        <v>5.7125000000000004</v>
      </c>
      <c r="E54" s="3">
        <f t="shared" si="1"/>
        <v>9.7592997811816198E-2</v>
      </c>
      <c r="K54" s="75">
        <v>11</v>
      </c>
      <c r="L54" s="76">
        <v>4.8659999999999997</v>
      </c>
      <c r="M54" s="76">
        <v>0.20669559826410389</v>
      </c>
    </row>
    <row r="55" spans="1:13" x14ac:dyDescent="0.2">
      <c r="A55">
        <v>2004</v>
      </c>
      <c r="B55">
        <v>6</v>
      </c>
      <c r="C55" s="62">
        <v>6.2874999999999996</v>
      </c>
      <c r="D55" s="51">
        <f t="shared" si="0"/>
        <v>5.7125000000000004</v>
      </c>
      <c r="E55" s="3">
        <f t="shared" si="1"/>
        <v>0.10065645514223182</v>
      </c>
      <c r="K55" s="75">
        <v>12</v>
      </c>
      <c r="L55" s="76">
        <v>4.6375000000000002</v>
      </c>
      <c r="M55" s="76">
        <v>0.15003099814011145</v>
      </c>
    </row>
    <row r="56" spans="1:13" x14ac:dyDescent="0.2">
      <c r="A56">
        <v>2004</v>
      </c>
      <c r="B56">
        <v>7</v>
      </c>
      <c r="C56" s="62">
        <v>6.056</v>
      </c>
      <c r="D56" s="51">
        <f t="shared" si="0"/>
        <v>5.7125000000000004</v>
      </c>
      <c r="E56" s="3">
        <f t="shared" si="1"/>
        <v>6.0131291028446332E-2</v>
      </c>
      <c r="K56" s="35" t="s">
        <v>391</v>
      </c>
      <c r="L56" s="76">
        <v>192.32100000000003</v>
      </c>
      <c r="M56" s="76">
        <v>0.93632618704246806</v>
      </c>
    </row>
    <row r="57" spans="1:13" x14ac:dyDescent="0.2">
      <c r="A57">
        <v>2004</v>
      </c>
      <c r="B57">
        <v>8</v>
      </c>
      <c r="C57" s="62">
        <v>5.8674999999999997</v>
      </c>
      <c r="D57" s="51">
        <f t="shared" si="0"/>
        <v>5.7125000000000004</v>
      </c>
      <c r="E57" s="3">
        <f t="shared" si="1"/>
        <v>2.7133479212253717E-2</v>
      </c>
    </row>
    <row r="58" spans="1:13" x14ac:dyDescent="0.2">
      <c r="A58">
        <v>2004</v>
      </c>
      <c r="B58">
        <v>9</v>
      </c>
      <c r="C58" s="62">
        <v>5.7539999999999996</v>
      </c>
      <c r="D58" s="51">
        <f t="shared" si="0"/>
        <v>5.7125000000000004</v>
      </c>
      <c r="E58" s="3">
        <f t="shared" si="1"/>
        <v>7.264770240700079E-3</v>
      </c>
    </row>
    <row r="59" spans="1:13" x14ac:dyDescent="0.2">
      <c r="A59">
        <v>2004</v>
      </c>
      <c r="B59">
        <v>10</v>
      </c>
      <c r="C59" s="62">
        <v>5.7225000000000001</v>
      </c>
      <c r="D59" s="51">
        <f t="shared" si="0"/>
        <v>5.7125000000000004</v>
      </c>
      <c r="E59" s="3">
        <f t="shared" si="1"/>
        <v>1.7505470459518225E-3</v>
      </c>
    </row>
    <row r="60" spans="1:13" x14ac:dyDescent="0.2">
      <c r="A60">
        <v>2004</v>
      </c>
      <c r="B60">
        <v>11</v>
      </c>
      <c r="C60" s="62">
        <v>5.73</v>
      </c>
      <c r="D60" s="51">
        <f t="shared" si="0"/>
        <v>5.7125000000000004</v>
      </c>
      <c r="E60" s="3">
        <f t="shared" si="1"/>
        <v>3.0634573304157671E-3</v>
      </c>
    </row>
    <row r="61" spans="1:13" x14ac:dyDescent="0.2">
      <c r="A61">
        <v>2004</v>
      </c>
      <c r="B61">
        <v>12</v>
      </c>
      <c r="C61" s="62">
        <v>5.7519999999999998</v>
      </c>
      <c r="D61" s="51">
        <f t="shared" si="0"/>
        <v>5.7125000000000004</v>
      </c>
      <c r="E61" s="3">
        <f t="shared" si="1"/>
        <v>6.914660831509746E-3</v>
      </c>
    </row>
    <row r="62" spans="1:13" x14ac:dyDescent="0.2">
      <c r="A62">
        <v>2005</v>
      </c>
      <c r="B62">
        <v>1</v>
      </c>
      <c r="C62" s="62">
        <v>5.71</v>
      </c>
      <c r="D62" s="51">
        <f t="shared" si="0"/>
        <v>5.71</v>
      </c>
      <c r="E62" s="3">
        <f t="shared" si="1"/>
        <v>0</v>
      </c>
    </row>
    <row r="63" spans="1:13" x14ac:dyDescent="0.2">
      <c r="A63">
        <v>2005</v>
      </c>
      <c r="B63">
        <v>2</v>
      </c>
      <c r="C63" s="62">
        <v>5.6275000000000004</v>
      </c>
      <c r="D63" s="51">
        <f t="shared" si="0"/>
        <v>5.71</v>
      </c>
      <c r="E63" s="3">
        <f t="shared" si="1"/>
        <v>-1.4448336252189067E-2</v>
      </c>
    </row>
    <row r="64" spans="1:13" x14ac:dyDescent="0.2">
      <c r="A64">
        <v>2005</v>
      </c>
      <c r="B64">
        <v>3</v>
      </c>
      <c r="C64" s="62">
        <v>5.9279999999999999</v>
      </c>
      <c r="D64" s="51">
        <f t="shared" si="0"/>
        <v>5.71</v>
      </c>
      <c r="E64" s="3">
        <f t="shared" si="1"/>
        <v>3.8178633975481609E-2</v>
      </c>
    </row>
    <row r="65" spans="1:5" x14ac:dyDescent="0.2">
      <c r="A65">
        <v>2005</v>
      </c>
      <c r="B65">
        <v>4</v>
      </c>
      <c r="C65" s="62">
        <v>5.8550000000000004</v>
      </c>
      <c r="D65" s="51">
        <f t="shared" si="0"/>
        <v>5.71</v>
      </c>
      <c r="E65" s="3">
        <f t="shared" si="1"/>
        <v>2.5394045534150693E-2</v>
      </c>
    </row>
    <row r="66" spans="1:5" x14ac:dyDescent="0.2">
      <c r="A66">
        <v>2005</v>
      </c>
      <c r="B66">
        <v>5</v>
      </c>
      <c r="C66" s="62">
        <v>5.7200000000000006</v>
      </c>
      <c r="D66" s="51">
        <f t="shared" si="0"/>
        <v>5.71</v>
      </c>
      <c r="E66" s="3">
        <f t="shared" si="1"/>
        <v>1.7513134851139536E-3</v>
      </c>
    </row>
    <row r="67" spans="1:5" x14ac:dyDescent="0.2">
      <c r="A67">
        <v>2005</v>
      </c>
      <c r="B67">
        <v>6</v>
      </c>
      <c r="C67" s="62">
        <v>5.5819999999999999</v>
      </c>
      <c r="D67" s="51">
        <f t="shared" ref="D67:D130" si="2">IF(B67=1,C67,D66)</f>
        <v>5.71</v>
      </c>
      <c r="E67" s="3">
        <f t="shared" ref="E67:E130" si="3">(C67-D67)/D67</f>
        <v>-2.2416812609457114E-2</v>
      </c>
    </row>
    <row r="68" spans="1:5" x14ac:dyDescent="0.2">
      <c r="A68">
        <v>2005</v>
      </c>
      <c r="B68">
        <v>7</v>
      </c>
      <c r="C68" s="62">
        <v>5.6950000000000003</v>
      </c>
      <c r="D68" s="51">
        <f t="shared" si="2"/>
        <v>5.71</v>
      </c>
      <c r="E68" s="3">
        <f t="shared" si="3"/>
        <v>-2.6269702276706971E-3</v>
      </c>
    </row>
    <row r="69" spans="1:5" x14ac:dyDescent="0.2">
      <c r="A69">
        <v>2005</v>
      </c>
      <c r="B69">
        <v>8</v>
      </c>
      <c r="C69" s="62">
        <v>5.82</v>
      </c>
      <c r="D69" s="51">
        <f t="shared" si="2"/>
        <v>5.71</v>
      </c>
      <c r="E69" s="3">
        <f t="shared" si="3"/>
        <v>1.9264448336252245E-2</v>
      </c>
    </row>
    <row r="70" spans="1:5" x14ac:dyDescent="0.2">
      <c r="A70">
        <v>2005</v>
      </c>
      <c r="B70">
        <v>9</v>
      </c>
      <c r="C70" s="62">
        <v>5.774</v>
      </c>
      <c r="D70" s="51">
        <f t="shared" si="2"/>
        <v>5.71</v>
      </c>
      <c r="E70" s="3">
        <f t="shared" si="3"/>
        <v>1.1208406304728557E-2</v>
      </c>
    </row>
    <row r="71" spans="1:5" x14ac:dyDescent="0.2">
      <c r="A71">
        <v>2005</v>
      </c>
      <c r="B71">
        <v>10</v>
      </c>
      <c r="C71" s="62">
        <v>6.0649999999999995</v>
      </c>
      <c r="D71" s="51">
        <f t="shared" si="2"/>
        <v>5.71</v>
      </c>
      <c r="E71" s="3">
        <f t="shared" si="3"/>
        <v>6.2171628721541077E-2</v>
      </c>
    </row>
    <row r="72" spans="1:5" x14ac:dyDescent="0.2">
      <c r="A72">
        <v>2005</v>
      </c>
      <c r="B72">
        <v>11</v>
      </c>
      <c r="C72" s="62">
        <v>6.33</v>
      </c>
      <c r="D72" s="51">
        <f t="shared" si="2"/>
        <v>5.71</v>
      </c>
      <c r="E72" s="3">
        <f t="shared" si="3"/>
        <v>0.10858143607705781</v>
      </c>
    </row>
    <row r="73" spans="1:5" x14ac:dyDescent="0.2">
      <c r="A73">
        <v>2005</v>
      </c>
      <c r="B73">
        <v>12</v>
      </c>
      <c r="C73" s="62">
        <v>6.2720000000000002</v>
      </c>
      <c r="D73" s="51">
        <f t="shared" si="2"/>
        <v>5.71</v>
      </c>
      <c r="E73" s="3">
        <f t="shared" si="3"/>
        <v>9.84238178633976E-2</v>
      </c>
    </row>
    <row r="74" spans="1:5" x14ac:dyDescent="0.2">
      <c r="A74">
        <v>2006</v>
      </c>
      <c r="B74">
        <v>1</v>
      </c>
      <c r="C74" s="62">
        <v>6.1450000000000005</v>
      </c>
      <c r="D74" s="51">
        <f t="shared" si="2"/>
        <v>6.1450000000000005</v>
      </c>
      <c r="E74" s="3">
        <f t="shared" si="3"/>
        <v>0</v>
      </c>
    </row>
    <row r="75" spans="1:5" x14ac:dyDescent="0.2">
      <c r="A75">
        <v>2006</v>
      </c>
      <c r="B75">
        <v>2</v>
      </c>
      <c r="C75" s="62">
        <v>6.2524999999999995</v>
      </c>
      <c r="D75" s="51">
        <f t="shared" si="2"/>
        <v>6.1450000000000005</v>
      </c>
      <c r="E75" s="3">
        <f t="shared" si="3"/>
        <v>1.7493897477623928E-2</v>
      </c>
    </row>
    <row r="76" spans="1:5" x14ac:dyDescent="0.2">
      <c r="A76">
        <v>2006</v>
      </c>
      <c r="B76">
        <v>3</v>
      </c>
      <c r="C76" s="62">
        <v>6.3239999999999998</v>
      </c>
      <c r="D76" s="51">
        <f t="shared" si="2"/>
        <v>6.1450000000000005</v>
      </c>
      <c r="E76" s="3">
        <f t="shared" si="3"/>
        <v>2.9129373474369304E-2</v>
      </c>
    </row>
    <row r="77" spans="1:5" x14ac:dyDescent="0.2">
      <c r="A77">
        <v>2006</v>
      </c>
      <c r="B77">
        <v>4</v>
      </c>
      <c r="C77" s="62">
        <v>6.5075000000000003</v>
      </c>
      <c r="D77" s="51">
        <f t="shared" si="2"/>
        <v>6.1450000000000005</v>
      </c>
      <c r="E77" s="3">
        <f t="shared" si="3"/>
        <v>5.8991049633848623E-2</v>
      </c>
    </row>
    <row r="78" spans="1:5" x14ac:dyDescent="0.2">
      <c r="A78">
        <v>2006</v>
      </c>
      <c r="B78">
        <v>5</v>
      </c>
      <c r="C78" s="62">
        <v>6.5975000000000001</v>
      </c>
      <c r="D78" s="51">
        <f t="shared" si="2"/>
        <v>6.1450000000000005</v>
      </c>
      <c r="E78" s="3">
        <f t="shared" si="3"/>
        <v>7.3637103336045506E-2</v>
      </c>
    </row>
    <row r="79" spans="1:5" x14ac:dyDescent="0.2">
      <c r="A79">
        <v>2006</v>
      </c>
      <c r="B79">
        <v>6</v>
      </c>
      <c r="C79" s="62">
        <v>6.6819999999999995</v>
      </c>
      <c r="D79" s="51">
        <f t="shared" si="2"/>
        <v>6.1450000000000005</v>
      </c>
      <c r="E79" s="3">
        <f t="shared" si="3"/>
        <v>8.7388120423108048E-2</v>
      </c>
    </row>
    <row r="80" spans="1:5" x14ac:dyDescent="0.2">
      <c r="A80">
        <v>2006</v>
      </c>
      <c r="B80">
        <v>7</v>
      </c>
      <c r="C80" s="62">
        <v>6.7625000000000002</v>
      </c>
      <c r="D80" s="51">
        <f t="shared" si="2"/>
        <v>6.1450000000000005</v>
      </c>
      <c r="E80" s="3">
        <f t="shared" si="3"/>
        <v>0.10048820179007317</v>
      </c>
    </row>
    <row r="81" spans="1:5" x14ac:dyDescent="0.2">
      <c r="A81">
        <v>2006</v>
      </c>
      <c r="B81">
        <v>8</v>
      </c>
      <c r="C81" s="62">
        <v>6.5239999999999991</v>
      </c>
      <c r="D81" s="51">
        <f t="shared" si="2"/>
        <v>6.1450000000000005</v>
      </c>
      <c r="E81" s="3">
        <f t="shared" si="3"/>
        <v>6.1676159479251202E-2</v>
      </c>
    </row>
    <row r="82" spans="1:5" x14ac:dyDescent="0.2">
      <c r="A82">
        <v>2006</v>
      </c>
      <c r="B82">
        <v>9</v>
      </c>
      <c r="C82" s="62">
        <v>6.402499999999999</v>
      </c>
      <c r="D82" s="51">
        <f t="shared" si="2"/>
        <v>6.1450000000000005</v>
      </c>
      <c r="E82" s="3">
        <f t="shared" si="3"/>
        <v>4.1903986981285349E-2</v>
      </c>
    </row>
    <row r="83" spans="1:5" x14ac:dyDescent="0.2">
      <c r="A83">
        <v>2006</v>
      </c>
      <c r="B83">
        <v>10</v>
      </c>
      <c r="C83" s="62">
        <v>6.3574999999999999</v>
      </c>
      <c r="D83" s="51">
        <f t="shared" si="2"/>
        <v>6.1450000000000005</v>
      </c>
      <c r="E83" s="3">
        <f t="shared" si="3"/>
        <v>3.4580960130187056E-2</v>
      </c>
    </row>
    <row r="84" spans="1:5" x14ac:dyDescent="0.2">
      <c r="A84">
        <v>2006</v>
      </c>
      <c r="B84">
        <v>11</v>
      </c>
      <c r="C84" s="62">
        <v>6.24</v>
      </c>
      <c r="D84" s="51">
        <f t="shared" si="2"/>
        <v>6.1450000000000005</v>
      </c>
      <c r="E84" s="3">
        <f t="shared" si="3"/>
        <v>1.5459723352318917E-2</v>
      </c>
    </row>
    <row r="85" spans="1:5" x14ac:dyDescent="0.2">
      <c r="A85">
        <v>2006</v>
      </c>
      <c r="B85">
        <v>12</v>
      </c>
      <c r="C85" s="62">
        <v>6.1349999999999998</v>
      </c>
      <c r="D85" s="51">
        <f t="shared" si="2"/>
        <v>6.1450000000000005</v>
      </c>
      <c r="E85" s="3">
        <f t="shared" si="3"/>
        <v>-1.6273393002442106E-3</v>
      </c>
    </row>
    <row r="86" spans="1:5" x14ac:dyDescent="0.2">
      <c r="A86">
        <v>2007</v>
      </c>
      <c r="B86">
        <v>1</v>
      </c>
      <c r="C86" s="62">
        <v>6.2175000000000002</v>
      </c>
      <c r="D86" s="51">
        <f t="shared" si="2"/>
        <v>6.2175000000000002</v>
      </c>
      <c r="E86" s="3">
        <f t="shared" si="3"/>
        <v>0</v>
      </c>
    </row>
    <row r="87" spans="1:5" x14ac:dyDescent="0.2">
      <c r="A87">
        <v>2007</v>
      </c>
      <c r="B87">
        <v>2</v>
      </c>
      <c r="C87" s="62">
        <v>6.2850000000000001</v>
      </c>
      <c r="D87" s="51">
        <f t="shared" si="2"/>
        <v>6.2175000000000002</v>
      </c>
      <c r="E87" s="3">
        <f t="shared" si="3"/>
        <v>1.0856453558504205E-2</v>
      </c>
    </row>
    <row r="88" spans="1:5" x14ac:dyDescent="0.2">
      <c r="A88">
        <v>2007</v>
      </c>
      <c r="B88">
        <v>3</v>
      </c>
      <c r="C88" s="62">
        <v>6.1560000000000006</v>
      </c>
      <c r="D88" s="51">
        <f t="shared" si="2"/>
        <v>6.2175000000000002</v>
      </c>
      <c r="E88" s="3">
        <f t="shared" si="3"/>
        <v>-9.8914354644149029E-3</v>
      </c>
    </row>
    <row r="89" spans="1:5" x14ac:dyDescent="0.2">
      <c r="A89">
        <v>2007</v>
      </c>
      <c r="B89">
        <v>4</v>
      </c>
      <c r="C89" s="62">
        <v>6.1800000000000006</v>
      </c>
      <c r="D89" s="51">
        <f t="shared" si="2"/>
        <v>6.2175000000000002</v>
      </c>
      <c r="E89" s="3">
        <f t="shared" si="3"/>
        <v>-6.0313630880578437E-3</v>
      </c>
    </row>
    <row r="90" spans="1:5" x14ac:dyDescent="0.2">
      <c r="A90">
        <v>2007</v>
      </c>
      <c r="B90">
        <v>5</v>
      </c>
      <c r="C90" s="62">
        <v>6.2620000000000005</v>
      </c>
      <c r="D90" s="51">
        <f t="shared" si="2"/>
        <v>6.2175000000000002</v>
      </c>
      <c r="E90" s="3">
        <f t="shared" si="3"/>
        <v>7.1572175311620757E-3</v>
      </c>
    </row>
    <row r="91" spans="1:5" x14ac:dyDescent="0.2">
      <c r="A91">
        <v>2007</v>
      </c>
      <c r="B91">
        <v>6</v>
      </c>
      <c r="C91" s="62">
        <v>6.6575000000000006</v>
      </c>
      <c r="D91" s="51">
        <f t="shared" si="2"/>
        <v>6.2175000000000002</v>
      </c>
      <c r="E91" s="3">
        <f t="shared" si="3"/>
        <v>7.0767993566546103E-2</v>
      </c>
    </row>
    <row r="92" spans="1:5" x14ac:dyDescent="0.2">
      <c r="A92">
        <v>2007</v>
      </c>
      <c r="B92">
        <v>7</v>
      </c>
      <c r="C92" s="62">
        <v>6.6950000000000003</v>
      </c>
      <c r="D92" s="51">
        <f t="shared" si="2"/>
        <v>6.2175000000000002</v>
      </c>
      <c r="E92" s="3">
        <f t="shared" si="3"/>
        <v>7.679935665460394E-2</v>
      </c>
    </row>
    <row r="93" spans="1:5" x14ac:dyDescent="0.2">
      <c r="A93">
        <v>2007</v>
      </c>
      <c r="B93">
        <v>8</v>
      </c>
      <c r="C93" s="62">
        <v>6.5720000000000001</v>
      </c>
      <c r="D93" s="51">
        <f t="shared" si="2"/>
        <v>6.2175000000000002</v>
      </c>
      <c r="E93" s="3">
        <f t="shared" si="3"/>
        <v>5.7016485725773995E-2</v>
      </c>
    </row>
    <row r="94" spans="1:5" x14ac:dyDescent="0.2">
      <c r="A94">
        <v>2007</v>
      </c>
      <c r="B94">
        <v>9</v>
      </c>
      <c r="C94" s="62">
        <v>6.3825000000000003</v>
      </c>
      <c r="D94" s="51">
        <f t="shared" si="2"/>
        <v>6.2175000000000002</v>
      </c>
      <c r="E94" s="3">
        <f t="shared" si="3"/>
        <v>2.653799758745477E-2</v>
      </c>
    </row>
    <row r="95" spans="1:5" x14ac:dyDescent="0.2">
      <c r="A95">
        <v>2007</v>
      </c>
      <c r="B95">
        <v>10</v>
      </c>
      <c r="C95" s="62">
        <v>6.375</v>
      </c>
      <c r="D95" s="51">
        <f t="shared" si="2"/>
        <v>6.2175000000000002</v>
      </c>
      <c r="E95" s="3">
        <f t="shared" si="3"/>
        <v>2.5331724969843143E-2</v>
      </c>
    </row>
    <row r="96" spans="1:5" x14ac:dyDescent="0.2">
      <c r="A96">
        <v>2007</v>
      </c>
      <c r="B96">
        <v>11</v>
      </c>
      <c r="C96" s="62">
        <v>6.2080000000000002</v>
      </c>
      <c r="D96" s="51">
        <f t="shared" si="2"/>
        <v>6.2175000000000002</v>
      </c>
      <c r="E96" s="3">
        <f t="shared" si="3"/>
        <v>-1.5279453156413453E-3</v>
      </c>
    </row>
    <row r="97" spans="1:5" x14ac:dyDescent="0.2">
      <c r="A97">
        <v>2007</v>
      </c>
      <c r="B97">
        <v>12</v>
      </c>
      <c r="C97" s="62">
        <v>6.0950000000000006</v>
      </c>
      <c r="D97" s="51">
        <f t="shared" si="2"/>
        <v>6.2175000000000002</v>
      </c>
      <c r="E97" s="3">
        <f t="shared" si="3"/>
        <v>-1.9702452754322412E-2</v>
      </c>
    </row>
    <row r="98" spans="1:5" x14ac:dyDescent="0.2">
      <c r="A98">
        <v>2008</v>
      </c>
      <c r="B98">
        <v>1</v>
      </c>
      <c r="C98" s="62">
        <v>5.7580000000000009</v>
      </c>
      <c r="D98" s="51">
        <f t="shared" si="2"/>
        <v>5.7580000000000009</v>
      </c>
      <c r="E98" s="3">
        <f t="shared" si="3"/>
        <v>0</v>
      </c>
    </row>
    <row r="99" spans="1:5" x14ac:dyDescent="0.2">
      <c r="A99">
        <v>2008</v>
      </c>
      <c r="B99">
        <v>2</v>
      </c>
      <c r="C99" s="62">
        <v>5.9175000000000004</v>
      </c>
      <c r="D99" s="51">
        <f t="shared" si="2"/>
        <v>5.7580000000000009</v>
      </c>
      <c r="E99" s="3">
        <f t="shared" si="3"/>
        <v>2.7700590482806445E-2</v>
      </c>
    </row>
    <row r="100" spans="1:5" x14ac:dyDescent="0.2">
      <c r="A100">
        <v>2008</v>
      </c>
      <c r="B100">
        <v>3</v>
      </c>
      <c r="C100" s="62">
        <v>5.9700000000000006</v>
      </c>
      <c r="D100" s="51">
        <f t="shared" si="2"/>
        <v>5.7580000000000009</v>
      </c>
      <c r="E100" s="3">
        <f t="shared" si="3"/>
        <v>3.6818339701285119E-2</v>
      </c>
    </row>
    <row r="101" spans="1:5" x14ac:dyDescent="0.2">
      <c r="A101">
        <v>2008</v>
      </c>
      <c r="B101">
        <v>4</v>
      </c>
      <c r="C101" s="62">
        <v>5.9175000000000004</v>
      </c>
      <c r="D101" s="51">
        <f t="shared" si="2"/>
        <v>5.7580000000000009</v>
      </c>
      <c r="E101" s="3">
        <f t="shared" si="3"/>
        <v>2.7700590482806445E-2</v>
      </c>
    </row>
    <row r="102" spans="1:5" x14ac:dyDescent="0.2">
      <c r="A102">
        <v>2008</v>
      </c>
      <c r="B102">
        <v>5</v>
      </c>
      <c r="C102" s="62">
        <v>6.0359999999999996</v>
      </c>
      <c r="D102" s="51">
        <f t="shared" si="2"/>
        <v>5.7580000000000009</v>
      </c>
      <c r="E102" s="3">
        <f t="shared" si="3"/>
        <v>4.8280653004515221E-2</v>
      </c>
    </row>
    <row r="103" spans="1:5" x14ac:dyDescent="0.2">
      <c r="A103">
        <v>2008</v>
      </c>
      <c r="B103">
        <v>6</v>
      </c>
      <c r="C103" s="62">
        <v>6.3199999999999994</v>
      </c>
      <c r="D103" s="51">
        <f t="shared" si="2"/>
        <v>5.7580000000000009</v>
      </c>
      <c r="E103" s="3">
        <f t="shared" si="3"/>
        <v>9.7603334491142488E-2</v>
      </c>
    </row>
    <row r="104" spans="1:5" x14ac:dyDescent="0.2">
      <c r="A104">
        <v>2008</v>
      </c>
      <c r="B104">
        <v>7</v>
      </c>
      <c r="C104" s="62">
        <v>6.4259999999999993</v>
      </c>
      <c r="D104" s="51">
        <f t="shared" si="2"/>
        <v>5.7580000000000009</v>
      </c>
      <c r="E104" s="3">
        <f t="shared" si="3"/>
        <v>0.11601250434178505</v>
      </c>
    </row>
    <row r="105" spans="1:5" x14ac:dyDescent="0.2">
      <c r="A105">
        <v>2008</v>
      </c>
      <c r="B105">
        <v>8</v>
      </c>
      <c r="C105" s="62">
        <v>6.4774999999999991</v>
      </c>
      <c r="D105" s="51">
        <f t="shared" si="2"/>
        <v>5.7580000000000009</v>
      </c>
      <c r="E105" s="3">
        <f t="shared" si="3"/>
        <v>0.12495658214657834</v>
      </c>
    </row>
    <row r="106" spans="1:5" x14ac:dyDescent="0.2">
      <c r="A106">
        <v>2008</v>
      </c>
      <c r="B106">
        <v>9</v>
      </c>
      <c r="C106" s="62">
        <v>6.0374999999999996</v>
      </c>
      <c r="D106" s="51">
        <f t="shared" si="2"/>
        <v>5.7580000000000009</v>
      </c>
      <c r="E106" s="3">
        <f t="shared" si="3"/>
        <v>4.8541160125043191E-2</v>
      </c>
    </row>
    <row r="107" spans="1:5" x14ac:dyDescent="0.2">
      <c r="A107">
        <v>2008</v>
      </c>
      <c r="B107">
        <v>10</v>
      </c>
      <c r="C107" s="62">
        <v>6.2</v>
      </c>
      <c r="D107" s="51">
        <f t="shared" si="2"/>
        <v>5.7580000000000009</v>
      </c>
      <c r="E107" s="3">
        <f t="shared" si="3"/>
        <v>7.6762764848905735E-2</v>
      </c>
    </row>
    <row r="108" spans="1:5" x14ac:dyDescent="0.2">
      <c r="A108">
        <v>2008</v>
      </c>
      <c r="B108">
        <v>11</v>
      </c>
      <c r="C108" s="62">
        <v>6.0874999999999995</v>
      </c>
      <c r="D108" s="51">
        <f t="shared" si="2"/>
        <v>5.7580000000000009</v>
      </c>
      <c r="E108" s="3">
        <f t="shared" si="3"/>
        <v>5.7224730809308531E-2</v>
      </c>
    </row>
    <row r="109" spans="1:5" x14ac:dyDescent="0.2">
      <c r="A109">
        <v>2008</v>
      </c>
      <c r="B109">
        <v>12</v>
      </c>
      <c r="C109" s="62">
        <v>5.2859999999999996</v>
      </c>
      <c r="D109" s="51">
        <f t="shared" si="2"/>
        <v>5.7580000000000009</v>
      </c>
      <c r="E109" s="3">
        <f t="shared" si="3"/>
        <v>-8.1972907259465308E-2</v>
      </c>
    </row>
    <row r="110" spans="1:5" x14ac:dyDescent="0.2">
      <c r="A110">
        <v>2009</v>
      </c>
      <c r="B110">
        <v>1</v>
      </c>
      <c r="C110" s="62">
        <v>5.0474999999999994</v>
      </c>
      <c r="D110" s="51">
        <f t="shared" si="2"/>
        <v>5.0474999999999994</v>
      </c>
      <c r="E110" s="3">
        <f t="shared" si="3"/>
        <v>0</v>
      </c>
    </row>
    <row r="111" spans="1:5" x14ac:dyDescent="0.2">
      <c r="A111">
        <v>2009</v>
      </c>
      <c r="B111">
        <v>2</v>
      </c>
      <c r="C111" s="62">
        <v>5.13</v>
      </c>
      <c r="D111" s="51">
        <f t="shared" si="2"/>
        <v>5.0474999999999994</v>
      </c>
      <c r="E111" s="3">
        <f t="shared" si="3"/>
        <v>1.6344725111441402E-2</v>
      </c>
    </row>
    <row r="112" spans="1:5" x14ac:dyDescent="0.2">
      <c r="A112">
        <v>2009</v>
      </c>
      <c r="B112">
        <v>3</v>
      </c>
      <c r="C112" s="62">
        <v>5.0024999999999995</v>
      </c>
      <c r="D112" s="51">
        <f t="shared" si="2"/>
        <v>5.0474999999999994</v>
      </c>
      <c r="E112" s="3">
        <f t="shared" si="3"/>
        <v>-8.9153046062407006E-3</v>
      </c>
    </row>
    <row r="113" spans="1:5" x14ac:dyDescent="0.2">
      <c r="A113">
        <v>2009</v>
      </c>
      <c r="B113">
        <v>4</v>
      </c>
      <c r="C113" s="62">
        <v>4.8100000000000005</v>
      </c>
      <c r="D113" s="51">
        <f t="shared" si="2"/>
        <v>5.0474999999999994</v>
      </c>
      <c r="E113" s="3">
        <f t="shared" si="3"/>
        <v>-4.7052996532936889E-2</v>
      </c>
    </row>
    <row r="114" spans="1:5" x14ac:dyDescent="0.2">
      <c r="A114">
        <v>2009</v>
      </c>
      <c r="B114">
        <v>5</v>
      </c>
      <c r="C114" s="62">
        <v>4.8574999999999999</v>
      </c>
      <c r="D114" s="51">
        <f t="shared" si="2"/>
        <v>5.0474999999999994</v>
      </c>
      <c r="E114" s="3">
        <f t="shared" si="3"/>
        <v>-3.7642397226349586E-2</v>
      </c>
    </row>
    <row r="115" spans="1:5" x14ac:dyDescent="0.2">
      <c r="A115">
        <v>2009</v>
      </c>
      <c r="B115">
        <v>6</v>
      </c>
      <c r="C115" s="62">
        <v>5.42</v>
      </c>
      <c r="D115" s="51">
        <f t="shared" si="2"/>
        <v>5.0474999999999994</v>
      </c>
      <c r="E115" s="3">
        <f t="shared" si="3"/>
        <v>7.379891035165935E-2</v>
      </c>
    </row>
    <row r="116" spans="1:5" x14ac:dyDescent="0.2">
      <c r="A116">
        <v>2009</v>
      </c>
      <c r="B116">
        <v>7</v>
      </c>
      <c r="C116" s="62">
        <v>5.2219999999999995</v>
      </c>
      <c r="D116" s="51">
        <f t="shared" si="2"/>
        <v>5.0474999999999994</v>
      </c>
      <c r="E116" s="3">
        <f t="shared" si="3"/>
        <v>3.4571570084200122E-2</v>
      </c>
    </row>
    <row r="117" spans="1:5" x14ac:dyDescent="0.2">
      <c r="A117">
        <v>2009</v>
      </c>
      <c r="B117">
        <v>8</v>
      </c>
      <c r="C117" s="62">
        <v>5.1924999999999999</v>
      </c>
      <c r="D117" s="51">
        <f t="shared" si="2"/>
        <v>5.0474999999999994</v>
      </c>
      <c r="E117" s="3">
        <f t="shared" si="3"/>
        <v>2.8727092620109061E-2</v>
      </c>
    </row>
    <row r="118" spans="1:5" x14ac:dyDescent="0.2">
      <c r="A118">
        <v>2009</v>
      </c>
      <c r="B118">
        <v>9</v>
      </c>
      <c r="C118" s="62">
        <v>5.0575000000000001</v>
      </c>
      <c r="D118" s="51">
        <f t="shared" si="2"/>
        <v>5.0474999999999994</v>
      </c>
      <c r="E118" s="3">
        <f t="shared" si="3"/>
        <v>1.9811788013869591E-3</v>
      </c>
    </row>
    <row r="119" spans="1:5" x14ac:dyDescent="0.2">
      <c r="A119">
        <v>2009</v>
      </c>
      <c r="B119">
        <v>10</v>
      </c>
      <c r="C119" s="62">
        <v>4.952</v>
      </c>
      <c r="D119" s="51">
        <f t="shared" si="2"/>
        <v>5.0474999999999994</v>
      </c>
      <c r="E119" s="3">
        <f t="shared" si="3"/>
        <v>-1.8920257553244078E-2</v>
      </c>
    </row>
    <row r="120" spans="1:5" x14ac:dyDescent="0.2">
      <c r="A120">
        <v>2009</v>
      </c>
      <c r="B120">
        <v>11</v>
      </c>
      <c r="C120" s="62">
        <v>4.875</v>
      </c>
      <c r="D120" s="51">
        <f t="shared" si="2"/>
        <v>5.0474999999999994</v>
      </c>
      <c r="E120" s="3">
        <f t="shared" si="3"/>
        <v>-3.4175334323922626E-2</v>
      </c>
    </row>
    <row r="121" spans="1:5" x14ac:dyDescent="0.2">
      <c r="A121">
        <v>2009</v>
      </c>
      <c r="B121">
        <v>12</v>
      </c>
      <c r="C121" s="62">
        <v>4.9300000000000006</v>
      </c>
      <c r="D121" s="51">
        <f t="shared" si="2"/>
        <v>5.0474999999999994</v>
      </c>
      <c r="E121" s="3">
        <f t="shared" si="3"/>
        <v>-2.3278850916294967E-2</v>
      </c>
    </row>
    <row r="122" spans="1:5" x14ac:dyDescent="0.2">
      <c r="A122">
        <v>2010</v>
      </c>
      <c r="B122">
        <v>1</v>
      </c>
      <c r="C122" s="62">
        <v>5.0299999999999994</v>
      </c>
      <c r="D122" s="51">
        <f t="shared" si="2"/>
        <v>5.0299999999999994</v>
      </c>
      <c r="E122" s="3">
        <f t="shared" si="3"/>
        <v>0</v>
      </c>
    </row>
    <row r="123" spans="1:5" x14ac:dyDescent="0.2">
      <c r="A123">
        <v>2010</v>
      </c>
      <c r="B123">
        <v>2</v>
      </c>
      <c r="C123" s="62">
        <v>4.99</v>
      </c>
      <c r="D123" s="51">
        <f t="shared" si="2"/>
        <v>5.0299999999999994</v>
      </c>
      <c r="E123" s="3">
        <f t="shared" si="3"/>
        <v>-7.9522862823059939E-3</v>
      </c>
    </row>
    <row r="124" spans="1:5" x14ac:dyDescent="0.2">
      <c r="A124">
        <v>2010</v>
      </c>
      <c r="B124">
        <v>3</v>
      </c>
      <c r="C124" s="62">
        <v>4.9674999999999994</v>
      </c>
      <c r="D124" s="51">
        <f t="shared" si="2"/>
        <v>5.0299999999999994</v>
      </c>
      <c r="E124" s="3">
        <f t="shared" si="3"/>
        <v>-1.2425447316103381E-2</v>
      </c>
    </row>
    <row r="125" spans="1:5" x14ac:dyDescent="0.2">
      <c r="A125">
        <v>2010</v>
      </c>
      <c r="B125">
        <v>4</v>
      </c>
      <c r="C125" s="62">
        <v>5.0979999999999999</v>
      </c>
      <c r="D125" s="51">
        <f t="shared" si="2"/>
        <v>5.0299999999999994</v>
      </c>
      <c r="E125" s="3">
        <f t="shared" si="3"/>
        <v>1.3518886679920579E-2</v>
      </c>
    </row>
    <row r="126" spans="1:5" x14ac:dyDescent="0.2">
      <c r="A126">
        <v>2010</v>
      </c>
      <c r="B126">
        <v>5</v>
      </c>
      <c r="C126" s="62">
        <v>4.8875000000000002</v>
      </c>
      <c r="D126" s="51">
        <f t="shared" si="2"/>
        <v>5.0299999999999994</v>
      </c>
      <c r="E126" s="3">
        <f t="shared" si="3"/>
        <v>-2.8330019880715547E-2</v>
      </c>
    </row>
    <row r="127" spans="1:5" x14ac:dyDescent="0.2">
      <c r="A127">
        <v>2010</v>
      </c>
      <c r="B127">
        <v>6</v>
      </c>
      <c r="C127" s="62">
        <v>4.7374999999999998</v>
      </c>
      <c r="D127" s="51">
        <f t="shared" si="2"/>
        <v>5.0299999999999994</v>
      </c>
      <c r="E127" s="3">
        <f t="shared" si="3"/>
        <v>-5.8151093439363734E-2</v>
      </c>
    </row>
    <row r="128" spans="1:5" x14ac:dyDescent="0.2">
      <c r="A128">
        <v>2010</v>
      </c>
      <c r="B128">
        <v>7</v>
      </c>
      <c r="C128" s="62">
        <v>4.5640000000000001</v>
      </c>
      <c r="D128" s="51">
        <f t="shared" si="2"/>
        <v>5.0299999999999994</v>
      </c>
      <c r="E128" s="3">
        <f t="shared" si="3"/>
        <v>-9.2644135188866675E-2</v>
      </c>
    </row>
    <row r="129" spans="1:5" x14ac:dyDescent="0.2">
      <c r="A129">
        <v>2010</v>
      </c>
      <c r="B129">
        <v>8</v>
      </c>
      <c r="C129" s="62">
        <v>4.4275000000000002</v>
      </c>
      <c r="D129" s="51">
        <f t="shared" si="2"/>
        <v>5.0299999999999994</v>
      </c>
      <c r="E129" s="3">
        <f t="shared" si="3"/>
        <v>-0.11978131212723643</v>
      </c>
    </row>
    <row r="130" spans="1:5" x14ac:dyDescent="0.2">
      <c r="A130">
        <v>2010</v>
      </c>
      <c r="B130">
        <v>9</v>
      </c>
      <c r="C130" s="62">
        <v>4.3460000000000001</v>
      </c>
      <c r="D130" s="51">
        <f t="shared" si="2"/>
        <v>5.0299999999999994</v>
      </c>
      <c r="E130" s="3">
        <f t="shared" si="3"/>
        <v>-0.13598409542743525</v>
      </c>
    </row>
    <row r="131" spans="1:5" x14ac:dyDescent="0.2">
      <c r="A131">
        <v>2010</v>
      </c>
      <c r="B131">
        <v>10</v>
      </c>
      <c r="C131" s="62">
        <v>4.2250000000000005</v>
      </c>
      <c r="D131" s="51">
        <f t="shared" ref="D131:D194" si="4">IF(B131=1,C131,D130)</f>
        <v>5.0299999999999994</v>
      </c>
      <c r="E131" s="3">
        <f t="shared" ref="E131:E194" si="5">(C131-D131)/D131</f>
        <v>-0.16003976143141133</v>
      </c>
    </row>
    <row r="132" spans="1:5" x14ac:dyDescent="0.2">
      <c r="A132">
        <v>2010</v>
      </c>
      <c r="B132">
        <v>11</v>
      </c>
      <c r="C132" s="62">
        <v>4.3000000000000007</v>
      </c>
      <c r="D132" s="51">
        <f t="shared" si="4"/>
        <v>5.0299999999999994</v>
      </c>
      <c r="E132" s="3">
        <f t="shared" si="5"/>
        <v>-0.14512922465208722</v>
      </c>
    </row>
    <row r="133" spans="1:5" x14ac:dyDescent="0.2">
      <c r="A133">
        <v>2010</v>
      </c>
      <c r="B133">
        <v>12</v>
      </c>
      <c r="C133" s="62">
        <v>4.7140000000000004</v>
      </c>
      <c r="D133" s="51">
        <f t="shared" si="4"/>
        <v>5.0299999999999994</v>
      </c>
      <c r="E133" s="3">
        <f t="shared" si="5"/>
        <v>-6.2823061630218488E-2</v>
      </c>
    </row>
    <row r="134" spans="1:5" x14ac:dyDescent="0.2">
      <c r="A134">
        <v>2011</v>
      </c>
      <c r="B134">
        <v>1</v>
      </c>
      <c r="C134" s="62">
        <v>4.7549999999999999</v>
      </c>
      <c r="D134" s="51">
        <f t="shared" si="4"/>
        <v>4.7549999999999999</v>
      </c>
      <c r="E134" s="3">
        <f t="shared" si="5"/>
        <v>0</v>
      </c>
    </row>
    <row r="135" spans="1:5" x14ac:dyDescent="0.2">
      <c r="A135">
        <v>2011</v>
      </c>
      <c r="B135">
        <v>2</v>
      </c>
      <c r="C135" s="62">
        <v>4.9524999999999997</v>
      </c>
      <c r="D135" s="51">
        <f t="shared" si="4"/>
        <v>4.7549999999999999</v>
      </c>
      <c r="E135" s="3">
        <f t="shared" si="5"/>
        <v>4.1535226077812785E-2</v>
      </c>
    </row>
    <row r="136" spans="1:5" x14ac:dyDescent="0.2">
      <c r="A136">
        <v>2011</v>
      </c>
      <c r="B136">
        <v>3</v>
      </c>
      <c r="C136" s="62">
        <v>4.8360000000000003</v>
      </c>
      <c r="D136" s="51">
        <f t="shared" si="4"/>
        <v>4.7549999999999999</v>
      </c>
      <c r="E136" s="3">
        <f t="shared" si="5"/>
        <v>1.70347003154575E-2</v>
      </c>
    </row>
    <row r="137" spans="1:5" x14ac:dyDescent="0.2">
      <c r="A137">
        <v>2011</v>
      </c>
      <c r="B137">
        <v>4</v>
      </c>
      <c r="C137" s="62">
        <v>4.8400000000000007</v>
      </c>
      <c r="D137" s="51">
        <f t="shared" si="4"/>
        <v>4.7549999999999999</v>
      </c>
      <c r="E137" s="3">
        <f t="shared" si="5"/>
        <v>1.7875920084122157E-2</v>
      </c>
    </row>
    <row r="138" spans="1:5" x14ac:dyDescent="0.2">
      <c r="A138">
        <v>2011</v>
      </c>
      <c r="B138">
        <v>5</v>
      </c>
      <c r="C138" s="62">
        <v>4.6374999999999993</v>
      </c>
      <c r="D138" s="51">
        <f t="shared" si="4"/>
        <v>4.7549999999999999</v>
      </c>
      <c r="E138" s="3">
        <f t="shared" si="5"/>
        <v>-2.4710830704521684E-2</v>
      </c>
    </row>
    <row r="139" spans="1:5" x14ac:dyDescent="0.2">
      <c r="A139">
        <v>2011</v>
      </c>
      <c r="B139">
        <v>6</v>
      </c>
      <c r="C139" s="62">
        <v>4.51</v>
      </c>
      <c r="D139" s="51">
        <f t="shared" si="4"/>
        <v>4.7549999999999999</v>
      </c>
      <c r="E139" s="3">
        <f t="shared" si="5"/>
        <v>-5.1524710830704548E-2</v>
      </c>
    </row>
    <row r="140" spans="1:5" x14ac:dyDescent="0.2">
      <c r="A140">
        <v>2011</v>
      </c>
      <c r="B140">
        <v>7</v>
      </c>
      <c r="C140" s="62">
        <v>4.5449999999999999</v>
      </c>
      <c r="D140" s="51">
        <f t="shared" si="4"/>
        <v>4.7549999999999999</v>
      </c>
      <c r="E140" s="3">
        <f t="shared" si="5"/>
        <v>-4.4164037854889586E-2</v>
      </c>
    </row>
    <row r="141" spans="1:5" x14ac:dyDescent="0.2">
      <c r="A141">
        <v>2011</v>
      </c>
      <c r="B141">
        <v>8</v>
      </c>
      <c r="C141" s="62">
        <v>4.2700000000000005</v>
      </c>
      <c r="D141" s="51">
        <f t="shared" si="4"/>
        <v>4.7549999999999999</v>
      </c>
      <c r="E141" s="3">
        <f t="shared" si="5"/>
        <v>-0.10199789695057822</v>
      </c>
    </row>
    <row r="142" spans="1:5" x14ac:dyDescent="0.2">
      <c r="A142">
        <v>2011</v>
      </c>
      <c r="B142">
        <v>9</v>
      </c>
      <c r="C142" s="62">
        <v>4.1059999999999999</v>
      </c>
      <c r="D142" s="51">
        <f t="shared" si="4"/>
        <v>4.7549999999999999</v>
      </c>
      <c r="E142" s="3">
        <f t="shared" si="5"/>
        <v>-0.13648790746582545</v>
      </c>
    </row>
    <row r="143" spans="1:5" x14ac:dyDescent="0.2">
      <c r="A143">
        <v>2011</v>
      </c>
      <c r="B143">
        <v>10</v>
      </c>
      <c r="C143" s="62">
        <v>4.0675000000000008</v>
      </c>
      <c r="D143" s="51">
        <f t="shared" si="4"/>
        <v>4.7549999999999999</v>
      </c>
      <c r="E143" s="3">
        <f t="shared" si="5"/>
        <v>-0.14458464773922169</v>
      </c>
    </row>
    <row r="144" spans="1:5" x14ac:dyDescent="0.2">
      <c r="A144">
        <v>2011</v>
      </c>
      <c r="B144">
        <v>11</v>
      </c>
      <c r="C144" s="62">
        <v>3.9925000000000002</v>
      </c>
      <c r="D144" s="51">
        <f t="shared" si="4"/>
        <v>4.7549999999999999</v>
      </c>
      <c r="E144" s="3">
        <f t="shared" si="5"/>
        <v>-0.16035751840168239</v>
      </c>
    </row>
    <row r="145" spans="1:5" x14ac:dyDescent="0.2">
      <c r="A145">
        <v>2011</v>
      </c>
      <c r="B145">
        <v>12</v>
      </c>
      <c r="C145" s="62">
        <v>3.9579999999999997</v>
      </c>
      <c r="D145" s="51">
        <f t="shared" si="4"/>
        <v>4.7549999999999999</v>
      </c>
      <c r="E145" s="3">
        <f t="shared" si="5"/>
        <v>-0.16761303890641432</v>
      </c>
    </row>
    <row r="146" spans="1:5" x14ac:dyDescent="0.2">
      <c r="A146">
        <v>2012</v>
      </c>
      <c r="B146">
        <v>1</v>
      </c>
      <c r="C146" s="62">
        <v>3.915</v>
      </c>
      <c r="D146" s="51">
        <f t="shared" si="4"/>
        <v>3.915</v>
      </c>
      <c r="E146" s="3">
        <f t="shared" si="5"/>
        <v>0</v>
      </c>
    </row>
    <row r="147" spans="1:5" x14ac:dyDescent="0.2">
      <c r="A147">
        <v>2012</v>
      </c>
      <c r="B147">
        <v>2</v>
      </c>
      <c r="C147" s="62">
        <v>3.8899999999999997</v>
      </c>
      <c r="D147" s="51">
        <f t="shared" si="4"/>
        <v>3.915</v>
      </c>
      <c r="E147" s="3">
        <f t="shared" si="5"/>
        <v>-6.3856960408685453E-3</v>
      </c>
    </row>
    <row r="148" spans="1:5" x14ac:dyDescent="0.2">
      <c r="A148">
        <v>2012</v>
      </c>
      <c r="B148">
        <v>3</v>
      </c>
      <c r="C148" s="62">
        <v>3.9539999999999997</v>
      </c>
      <c r="D148" s="51">
        <f t="shared" si="4"/>
        <v>3.915</v>
      </c>
      <c r="E148" s="3">
        <f t="shared" si="5"/>
        <v>9.9616858237547134E-3</v>
      </c>
    </row>
    <row r="149" spans="1:5" x14ac:dyDescent="0.2">
      <c r="A149">
        <v>2012</v>
      </c>
      <c r="B149">
        <v>4</v>
      </c>
      <c r="C149" s="62">
        <v>3.91</v>
      </c>
      <c r="D149" s="51">
        <f t="shared" si="4"/>
        <v>3.915</v>
      </c>
      <c r="E149" s="3">
        <f t="shared" si="5"/>
        <v>-1.2771392081736637E-3</v>
      </c>
    </row>
    <row r="150" spans="1:5" x14ac:dyDescent="0.2">
      <c r="A150">
        <v>2012</v>
      </c>
      <c r="B150">
        <v>5</v>
      </c>
      <c r="C150" s="62">
        <v>3.7980000000000005</v>
      </c>
      <c r="D150" s="51">
        <f t="shared" si="4"/>
        <v>3.915</v>
      </c>
      <c r="E150" s="3">
        <f t="shared" si="5"/>
        <v>-2.9885057471264253E-2</v>
      </c>
    </row>
    <row r="151" spans="1:5" x14ac:dyDescent="0.2">
      <c r="A151">
        <v>2012</v>
      </c>
      <c r="B151">
        <v>6</v>
      </c>
      <c r="C151" s="62">
        <v>3.6749999999999998</v>
      </c>
      <c r="D151" s="51">
        <f t="shared" si="4"/>
        <v>3.915</v>
      </c>
      <c r="E151" s="3">
        <f t="shared" si="5"/>
        <v>-6.1302681992337217E-2</v>
      </c>
    </row>
    <row r="152" spans="1:5" x14ac:dyDescent="0.2">
      <c r="A152">
        <v>2012</v>
      </c>
      <c r="B152">
        <v>7</v>
      </c>
      <c r="C152" s="62">
        <v>3.55</v>
      </c>
      <c r="D152" s="51">
        <f t="shared" si="4"/>
        <v>3.915</v>
      </c>
      <c r="E152" s="3">
        <f t="shared" si="5"/>
        <v>-9.3231162196679498E-2</v>
      </c>
    </row>
    <row r="153" spans="1:5" x14ac:dyDescent="0.2">
      <c r="A153">
        <v>2012</v>
      </c>
      <c r="B153">
        <v>8</v>
      </c>
      <c r="C153" s="62">
        <v>3.6019999999999994</v>
      </c>
      <c r="D153" s="51">
        <f t="shared" si="4"/>
        <v>3.915</v>
      </c>
      <c r="E153" s="3">
        <f t="shared" si="5"/>
        <v>-7.9948914431673207E-2</v>
      </c>
    </row>
    <row r="154" spans="1:5" x14ac:dyDescent="0.2">
      <c r="A154">
        <v>2012</v>
      </c>
      <c r="B154">
        <v>9</v>
      </c>
      <c r="C154" s="62">
        <v>3.4975000000000001</v>
      </c>
      <c r="D154" s="51">
        <f t="shared" si="4"/>
        <v>3.915</v>
      </c>
      <c r="E154" s="3">
        <f t="shared" si="5"/>
        <v>-0.10664112388250319</v>
      </c>
    </row>
    <row r="155" spans="1:5" x14ac:dyDescent="0.2">
      <c r="A155">
        <v>2012</v>
      </c>
      <c r="B155">
        <v>10</v>
      </c>
      <c r="C155" s="62">
        <v>3.3825000000000003</v>
      </c>
      <c r="D155" s="51">
        <f t="shared" si="4"/>
        <v>3.915</v>
      </c>
      <c r="E155" s="3">
        <f t="shared" si="5"/>
        <v>-0.13601532567049801</v>
      </c>
    </row>
    <row r="156" spans="1:5" x14ac:dyDescent="0.2">
      <c r="A156">
        <v>2012</v>
      </c>
      <c r="B156">
        <v>11</v>
      </c>
      <c r="C156" s="62">
        <v>3.3519999999999994</v>
      </c>
      <c r="D156" s="51">
        <f t="shared" si="4"/>
        <v>3.915</v>
      </c>
      <c r="E156" s="3">
        <f t="shared" si="5"/>
        <v>-0.14380587484035776</v>
      </c>
    </row>
    <row r="157" spans="1:5" x14ac:dyDescent="0.2">
      <c r="A157">
        <v>2012</v>
      </c>
      <c r="B157">
        <v>12</v>
      </c>
      <c r="C157" s="62">
        <v>3.3450000000000002</v>
      </c>
      <c r="D157" s="51">
        <f t="shared" si="4"/>
        <v>3.915</v>
      </c>
      <c r="E157" s="3">
        <f t="shared" si="5"/>
        <v>-0.14559386973180072</v>
      </c>
    </row>
    <row r="158" spans="1:5" x14ac:dyDescent="0.2">
      <c r="A158">
        <v>2013</v>
      </c>
      <c r="B158">
        <v>1</v>
      </c>
      <c r="C158" s="62">
        <v>3.4140000000000001</v>
      </c>
      <c r="D158" s="51">
        <f t="shared" si="4"/>
        <v>3.4140000000000001</v>
      </c>
      <c r="E158" s="3">
        <f t="shared" si="5"/>
        <v>0</v>
      </c>
    </row>
    <row r="159" spans="1:5" x14ac:dyDescent="0.2">
      <c r="A159">
        <v>2013</v>
      </c>
      <c r="B159">
        <v>2</v>
      </c>
      <c r="C159" s="62">
        <v>3.5324999999999998</v>
      </c>
      <c r="D159" s="51">
        <f t="shared" si="4"/>
        <v>3.4140000000000001</v>
      </c>
      <c r="E159" s="3">
        <f t="shared" si="5"/>
        <v>3.4710017574692324E-2</v>
      </c>
    </row>
    <row r="160" spans="1:5" x14ac:dyDescent="0.2">
      <c r="A160">
        <v>2013</v>
      </c>
      <c r="B160">
        <v>3</v>
      </c>
      <c r="C160" s="62">
        <v>3.5650000000000004</v>
      </c>
      <c r="D160" s="51">
        <f t="shared" si="4"/>
        <v>3.4140000000000001</v>
      </c>
      <c r="E160" s="3">
        <f t="shared" si="5"/>
        <v>4.4229642647920397E-2</v>
      </c>
    </row>
    <row r="161" spans="1:5" x14ac:dyDescent="0.2">
      <c r="A161">
        <v>2013</v>
      </c>
      <c r="B161">
        <v>4</v>
      </c>
      <c r="C161" s="62">
        <v>3.4450000000000003</v>
      </c>
      <c r="D161" s="51">
        <f t="shared" si="4"/>
        <v>3.4140000000000001</v>
      </c>
      <c r="E161" s="3">
        <f t="shared" si="5"/>
        <v>9.0802577621558692E-3</v>
      </c>
    </row>
    <row r="162" spans="1:5" x14ac:dyDescent="0.2">
      <c r="A162">
        <v>2013</v>
      </c>
      <c r="B162">
        <v>5</v>
      </c>
      <c r="C162" s="62">
        <v>3.536</v>
      </c>
      <c r="D162" s="51">
        <f t="shared" si="4"/>
        <v>3.4140000000000001</v>
      </c>
      <c r="E162" s="3">
        <f t="shared" si="5"/>
        <v>3.5735207967193872E-2</v>
      </c>
    </row>
    <row r="163" spans="1:5" x14ac:dyDescent="0.2">
      <c r="A163">
        <v>2013</v>
      </c>
      <c r="B163">
        <v>6</v>
      </c>
      <c r="C163" s="62">
        <v>4.07</v>
      </c>
      <c r="D163" s="51">
        <f t="shared" si="4"/>
        <v>3.4140000000000001</v>
      </c>
      <c r="E163" s="3">
        <f t="shared" si="5"/>
        <v>0.19214997070884596</v>
      </c>
    </row>
    <row r="164" spans="1:5" x14ac:dyDescent="0.2">
      <c r="A164">
        <v>2013</v>
      </c>
      <c r="B164">
        <v>7</v>
      </c>
      <c r="C164" s="62">
        <v>4.37</v>
      </c>
      <c r="D164" s="51">
        <f t="shared" si="4"/>
        <v>3.4140000000000001</v>
      </c>
      <c r="E164" s="3">
        <f t="shared" si="5"/>
        <v>0.28002343292325715</v>
      </c>
    </row>
    <row r="165" spans="1:5" x14ac:dyDescent="0.2">
      <c r="A165">
        <v>2013</v>
      </c>
      <c r="B165">
        <v>8</v>
      </c>
      <c r="C165" s="62">
        <v>4.4560000000000004</v>
      </c>
      <c r="D165" s="51">
        <f t="shared" si="4"/>
        <v>3.4140000000000001</v>
      </c>
      <c r="E165" s="3">
        <f t="shared" si="5"/>
        <v>0.30521382542472181</v>
      </c>
    </row>
    <row r="166" spans="1:5" x14ac:dyDescent="0.2">
      <c r="A166">
        <v>2013</v>
      </c>
      <c r="B166">
        <v>9</v>
      </c>
      <c r="C166" s="62">
        <v>4.49</v>
      </c>
      <c r="D166" s="51">
        <f t="shared" si="4"/>
        <v>3.4140000000000001</v>
      </c>
      <c r="E166" s="3">
        <f t="shared" si="5"/>
        <v>0.31517281780902168</v>
      </c>
    </row>
    <row r="167" spans="1:5" x14ac:dyDescent="0.2">
      <c r="A167">
        <v>2013</v>
      </c>
      <c r="B167">
        <v>10</v>
      </c>
      <c r="C167" s="62">
        <v>4.1920000000000002</v>
      </c>
      <c r="D167" s="51">
        <f t="shared" si="4"/>
        <v>3.4140000000000001</v>
      </c>
      <c r="E167" s="3">
        <f t="shared" si="5"/>
        <v>0.22788517867603983</v>
      </c>
    </row>
    <row r="168" spans="1:5" x14ac:dyDescent="0.2">
      <c r="A168">
        <v>2013</v>
      </c>
      <c r="B168">
        <v>11</v>
      </c>
      <c r="C168" s="62">
        <v>4.2549999999999999</v>
      </c>
      <c r="D168" s="51">
        <f t="shared" si="4"/>
        <v>3.4140000000000001</v>
      </c>
      <c r="E168" s="3">
        <f t="shared" si="5"/>
        <v>0.24633860574106611</v>
      </c>
    </row>
    <row r="169" spans="1:5" x14ac:dyDescent="0.2">
      <c r="A169">
        <v>2013</v>
      </c>
      <c r="B169">
        <v>12</v>
      </c>
      <c r="C169" s="62">
        <v>4.4574999999999996</v>
      </c>
      <c r="D169" s="51">
        <f t="shared" si="4"/>
        <v>3.4140000000000001</v>
      </c>
      <c r="E169" s="3">
        <f t="shared" si="5"/>
        <v>0.30565319273579361</v>
      </c>
    </row>
    <row r="170" spans="1:5" x14ac:dyDescent="0.2">
      <c r="A170">
        <v>2014</v>
      </c>
      <c r="B170">
        <v>1</v>
      </c>
      <c r="C170" s="62">
        <v>4.4320000000000004</v>
      </c>
      <c r="D170" s="51">
        <f t="shared" si="4"/>
        <v>4.4320000000000004</v>
      </c>
      <c r="E170" s="3">
        <f t="shared" si="5"/>
        <v>0</v>
      </c>
    </row>
    <row r="171" spans="1:5" x14ac:dyDescent="0.2">
      <c r="A171">
        <v>2014</v>
      </c>
      <c r="B171">
        <v>2</v>
      </c>
      <c r="C171" s="62">
        <v>4.3025000000000002</v>
      </c>
      <c r="D171" s="51">
        <f t="shared" si="4"/>
        <v>4.4320000000000004</v>
      </c>
      <c r="E171" s="3">
        <f t="shared" si="5"/>
        <v>-2.921931407942242E-2</v>
      </c>
    </row>
    <row r="172" spans="1:5" x14ac:dyDescent="0.2">
      <c r="A172">
        <v>2014</v>
      </c>
      <c r="B172">
        <v>3</v>
      </c>
      <c r="C172" s="62">
        <v>4.3425000000000002</v>
      </c>
      <c r="D172" s="51">
        <f t="shared" si="4"/>
        <v>4.4320000000000004</v>
      </c>
      <c r="E172" s="3">
        <f t="shared" si="5"/>
        <v>-2.0194043321299669E-2</v>
      </c>
    </row>
    <row r="173" spans="1:5" x14ac:dyDescent="0.2">
      <c r="A173">
        <v>2014</v>
      </c>
      <c r="B173">
        <v>4</v>
      </c>
      <c r="C173" s="62">
        <v>4.3375000000000004</v>
      </c>
      <c r="D173" s="51">
        <f t="shared" si="4"/>
        <v>4.4320000000000004</v>
      </c>
      <c r="E173" s="3">
        <f t="shared" si="5"/>
        <v>-2.1322202166064987E-2</v>
      </c>
    </row>
    <row r="174" spans="1:5" x14ac:dyDescent="0.2">
      <c r="A174">
        <v>2014</v>
      </c>
      <c r="B174">
        <v>5</v>
      </c>
      <c r="C174" s="62">
        <v>4.1920000000000002</v>
      </c>
      <c r="D174" s="51">
        <f t="shared" si="4"/>
        <v>4.4320000000000004</v>
      </c>
      <c r="E174" s="3">
        <f t="shared" si="5"/>
        <v>-5.4151624548736503E-2</v>
      </c>
    </row>
    <row r="175" spans="1:5" x14ac:dyDescent="0.2">
      <c r="A175">
        <v>2014</v>
      </c>
      <c r="B175">
        <v>6</v>
      </c>
      <c r="C175" s="62">
        <v>4.1624999999999996</v>
      </c>
      <c r="D175" s="51">
        <f t="shared" si="4"/>
        <v>4.4320000000000004</v>
      </c>
      <c r="E175" s="3">
        <f t="shared" si="5"/>
        <v>-6.0807761732852149E-2</v>
      </c>
    </row>
    <row r="176" spans="1:5" x14ac:dyDescent="0.2">
      <c r="A176">
        <v>2014</v>
      </c>
      <c r="B176">
        <v>7</v>
      </c>
      <c r="C176" s="62">
        <v>4.13</v>
      </c>
      <c r="D176" s="51">
        <f t="shared" si="4"/>
        <v>4.4320000000000004</v>
      </c>
      <c r="E176" s="3">
        <f t="shared" si="5"/>
        <v>-6.8140794223826823E-2</v>
      </c>
    </row>
    <row r="177" spans="1:5" x14ac:dyDescent="0.2">
      <c r="A177">
        <v>2014</v>
      </c>
      <c r="B177">
        <v>8</v>
      </c>
      <c r="C177" s="62">
        <v>4.1150000000000002</v>
      </c>
      <c r="D177" s="51">
        <f t="shared" si="4"/>
        <v>4.4320000000000004</v>
      </c>
      <c r="E177" s="3">
        <f t="shared" si="5"/>
        <v>-7.1525270758122775E-2</v>
      </c>
    </row>
    <row r="178" spans="1:5" x14ac:dyDescent="0.2">
      <c r="A178">
        <v>2014</v>
      </c>
      <c r="B178">
        <v>9</v>
      </c>
      <c r="C178" s="62">
        <v>4.1624999999999996</v>
      </c>
      <c r="D178" s="51">
        <f t="shared" si="4"/>
        <v>4.4320000000000004</v>
      </c>
      <c r="E178" s="3">
        <f t="shared" si="5"/>
        <v>-6.0807761732852149E-2</v>
      </c>
    </row>
    <row r="179" spans="1:5" x14ac:dyDescent="0.2">
      <c r="A179">
        <v>2014</v>
      </c>
      <c r="B179">
        <v>10</v>
      </c>
      <c r="C179" s="62">
        <v>4.0360000000000005</v>
      </c>
      <c r="D179" s="51">
        <f t="shared" si="4"/>
        <v>4.4320000000000004</v>
      </c>
      <c r="E179" s="3">
        <f t="shared" si="5"/>
        <v>-8.9350180505415128E-2</v>
      </c>
    </row>
    <row r="180" spans="1:5" x14ac:dyDescent="0.2">
      <c r="A180">
        <v>2014</v>
      </c>
      <c r="B180">
        <v>11</v>
      </c>
      <c r="C180" s="62">
        <v>3.9975000000000001</v>
      </c>
      <c r="D180" s="51">
        <f t="shared" si="4"/>
        <v>4.4320000000000004</v>
      </c>
      <c r="E180" s="3">
        <f t="shared" si="5"/>
        <v>-9.8037003610108364E-2</v>
      </c>
    </row>
    <row r="181" spans="1:5" x14ac:dyDescent="0.2">
      <c r="A181">
        <v>2014</v>
      </c>
      <c r="B181">
        <v>12</v>
      </c>
      <c r="C181" s="62">
        <v>3.8639999999999999</v>
      </c>
      <c r="D181" s="51">
        <f t="shared" si="4"/>
        <v>4.4320000000000004</v>
      </c>
      <c r="E181" s="3">
        <f t="shared" si="5"/>
        <v>-0.12815884476534306</v>
      </c>
    </row>
    <row r="182" spans="1:5" x14ac:dyDescent="0.2">
      <c r="A182">
        <v>2015</v>
      </c>
      <c r="B182">
        <v>1</v>
      </c>
      <c r="C182" s="62">
        <v>3.67</v>
      </c>
      <c r="D182" s="51">
        <f t="shared" si="4"/>
        <v>3.67</v>
      </c>
      <c r="E182" s="3">
        <f t="shared" si="5"/>
        <v>0</v>
      </c>
    </row>
    <row r="183" spans="1:5" x14ac:dyDescent="0.2">
      <c r="A183">
        <v>2015</v>
      </c>
      <c r="B183">
        <v>2</v>
      </c>
      <c r="C183" s="62">
        <v>3.71</v>
      </c>
      <c r="D183" s="51">
        <f t="shared" si="4"/>
        <v>3.67</v>
      </c>
      <c r="E183" s="3">
        <f t="shared" si="5"/>
        <v>1.0899182561307912E-2</v>
      </c>
    </row>
    <row r="184" spans="1:5" x14ac:dyDescent="0.2">
      <c r="A184">
        <v>2015</v>
      </c>
      <c r="B184">
        <v>3</v>
      </c>
      <c r="C184" s="62">
        <v>3.7699999999999996</v>
      </c>
      <c r="D184" s="51">
        <f t="shared" si="4"/>
        <v>3.67</v>
      </c>
      <c r="E184" s="3">
        <f t="shared" si="5"/>
        <v>2.7247956403269658E-2</v>
      </c>
    </row>
    <row r="185" spans="1:5" x14ac:dyDescent="0.2">
      <c r="A185">
        <v>2015</v>
      </c>
      <c r="B185">
        <v>4</v>
      </c>
      <c r="C185" s="62">
        <v>3.6720000000000006</v>
      </c>
      <c r="D185" s="51">
        <f t="shared" si="4"/>
        <v>3.67</v>
      </c>
      <c r="E185" s="3">
        <f t="shared" si="5"/>
        <v>5.4495912806557705E-4</v>
      </c>
    </row>
    <row r="186" spans="1:5" x14ac:dyDescent="0.2">
      <c r="A186">
        <v>2015</v>
      </c>
      <c r="B186">
        <v>5</v>
      </c>
      <c r="C186" s="62">
        <v>3.84</v>
      </c>
      <c r="D186" s="51">
        <f t="shared" si="4"/>
        <v>3.67</v>
      </c>
      <c r="E186" s="3">
        <f t="shared" si="5"/>
        <v>4.6321525885558566E-2</v>
      </c>
    </row>
    <row r="187" spans="1:5" x14ac:dyDescent="0.2">
      <c r="A187">
        <v>2015</v>
      </c>
      <c r="B187">
        <v>6</v>
      </c>
      <c r="C187" s="62">
        <v>3.9824999999999999</v>
      </c>
      <c r="D187" s="51">
        <f t="shared" si="4"/>
        <v>3.67</v>
      </c>
      <c r="E187" s="3">
        <f t="shared" si="5"/>
        <v>8.5149863760217992E-2</v>
      </c>
    </row>
    <row r="188" spans="1:5" x14ac:dyDescent="0.2">
      <c r="A188">
        <v>2015</v>
      </c>
      <c r="B188">
        <v>7</v>
      </c>
      <c r="C188" s="62">
        <v>4.0460000000000003</v>
      </c>
      <c r="D188" s="51">
        <f t="shared" si="4"/>
        <v>3.67</v>
      </c>
      <c r="E188" s="3">
        <f t="shared" si="5"/>
        <v>0.10245231607629438</v>
      </c>
    </row>
    <row r="189" spans="1:5" x14ac:dyDescent="0.2">
      <c r="A189">
        <v>2015</v>
      </c>
      <c r="B189">
        <v>8</v>
      </c>
      <c r="C189" s="62">
        <v>3.9049999999999998</v>
      </c>
      <c r="D189" s="51">
        <f t="shared" si="4"/>
        <v>3.67</v>
      </c>
      <c r="E189" s="3">
        <f t="shared" si="5"/>
        <v>6.4032697547683898E-2</v>
      </c>
    </row>
    <row r="190" spans="1:5" x14ac:dyDescent="0.2">
      <c r="A190">
        <v>2015</v>
      </c>
      <c r="B190">
        <v>9</v>
      </c>
      <c r="C190" s="62">
        <v>3.8899999999999997</v>
      </c>
      <c r="D190" s="51">
        <f t="shared" si="4"/>
        <v>3.67</v>
      </c>
      <c r="E190" s="3">
        <f t="shared" si="5"/>
        <v>5.9945504087193395E-2</v>
      </c>
    </row>
    <row r="191" spans="1:5" x14ac:dyDescent="0.2">
      <c r="A191">
        <v>2015</v>
      </c>
      <c r="B191">
        <v>10</v>
      </c>
      <c r="C191" s="62">
        <v>3.7959999999999994</v>
      </c>
      <c r="D191" s="51">
        <f t="shared" si="4"/>
        <v>3.67</v>
      </c>
      <c r="E191" s="3">
        <f t="shared" si="5"/>
        <v>3.4332425068119739E-2</v>
      </c>
    </row>
    <row r="192" spans="1:5" x14ac:dyDescent="0.2">
      <c r="A192">
        <v>2015</v>
      </c>
      <c r="B192">
        <v>11</v>
      </c>
      <c r="C192" s="62">
        <v>3.9424999999999999</v>
      </c>
      <c r="D192" s="51">
        <f t="shared" si="4"/>
        <v>3.67</v>
      </c>
      <c r="E192" s="3">
        <f t="shared" si="5"/>
        <v>7.4250681198910068E-2</v>
      </c>
    </row>
    <row r="193" spans="1:5" x14ac:dyDescent="0.2">
      <c r="A193">
        <v>2015</v>
      </c>
      <c r="B193">
        <v>12</v>
      </c>
      <c r="C193" s="62">
        <v>3.964</v>
      </c>
      <c r="D193" s="51">
        <f t="shared" si="4"/>
        <v>3.67</v>
      </c>
      <c r="E193" s="3">
        <f t="shared" si="5"/>
        <v>8.0108991825613096E-2</v>
      </c>
    </row>
    <row r="194" spans="1:5" x14ac:dyDescent="0.2">
      <c r="A194">
        <v>2016</v>
      </c>
      <c r="B194">
        <v>1</v>
      </c>
      <c r="C194" s="62">
        <v>3.8725000000000005</v>
      </c>
      <c r="D194" s="51">
        <f t="shared" si="4"/>
        <v>3.8725000000000005</v>
      </c>
      <c r="E194" s="3">
        <f t="shared" si="5"/>
        <v>0</v>
      </c>
    </row>
    <row r="195" spans="1:5" x14ac:dyDescent="0.2">
      <c r="A195">
        <v>2016</v>
      </c>
      <c r="B195">
        <v>2</v>
      </c>
      <c r="C195" s="62">
        <v>3.66</v>
      </c>
      <c r="D195" s="51">
        <f t="shared" ref="D195:D258" si="6">IF(B195=1,C195,D194)</f>
        <v>3.8725000000000005</v>
      </c>
      <c r="E195" s="3">
        <f t="shared" ref="E195:E258" si="7">(C195-D195)/D195</f>
        <v>-5.4874112330535914E-2</v>
      </c>
    </row>
    <row r="196" spans="1:5" x14ac:dyDescent="0.2">
      <c r="A196">
        <v>2016</v>
      </c>
      <c r="B196">
        <v>3</v>
      </c>
      <c r="C196" s="62">
        <v>3.6940000000000004</v>
      </c>
      <c r="D196" s="51">
        <f t="shared" si="6"/>
        <v>3.8725000000000005</v>
      </c>
      <c r="E196" s="3">
        <f t="shared" si="7"/>
        <v>-4.6094254357650119E-2</v>
      </c>
    </row>
    <row r="197" spans="1:5" x14ac:dyDescent="0.2">
      <c r="A197">
        <v>2016</v>
      </c>
      <c r="B197">
        <v>4</v>
      </c>
      <c r="C197" s="62">
        <v>3.605</v>
      </c>
      <c r="D197" s="51">
        <f t="shared" si="6"/>
        <v>3.8725000000000005</v>
      </c>
      <c r="E197" s="3">
        <f t="shared" si="7"/>
        <v>-6.9076823757262873E-2</v>
      </c>
    </row>
    <row r="198" spans="1:5" x14ac:dyDescent="0.2">
      <c r="A198">
        <v>2016</v>
      </c>
      <c r="B198">
        <v>5</v>
      </c>
      <c r="C198" s="62">
        <v>3.6</v>
      </c>
      <c r="D198" s="51">
        <f t="shared" si="6"/>
        <v>3.8725000000000005</v>
      </c>
      <c r="E198" s="3">
        <f t="shared" si="7"/>
        <v>-7.0367979341510747E-2</v>
      </c>
    </row>
    <row r="199" spans="1:5" x14ac:dyDescent="0.2">
      <c r="A199">
        <v>2016</v>
      </c>
      <c r="B199">
        <v>6</v>
      </c>
      <c r="C199" s="62">
        <v>3.5680000000000001</v>
      </c>
      <c r="D199" s="51">
        <f t="shared" si="6"/>
        <v>3.8725000000000005</v>
      </c>
      <c r="E199" s="3">
        <f t="shared" si="7"/>
        <v>-7.8631375080697327E-2</v>
      </c>
    </row>
    <row r="200" spans="1:5" x14ac:dyDescent="0.2">
      <c r="A200">
        <v>2016</v>
      </c>
      <c r="B200">
        <v>7</v>
      </c>
      <c r="C200" s="62">
        <v>3.4400000000000004</v>
      </c>
      <c r="D200" s="51">
        <f t="shared" si="6"/>
        <v>3.8725000000000005</v>
      </c>
      <c r="E200" s="3">
        <f t="shared" si="7"/>
        <v>-0.11168495803744352</v>
      </c>
    </row>
    <row r="201" spans="1:5" x14ac:dyDescent="0.2">
      <c r="A201">
        <v>2016</v>
      </c>
      <c r="B201">
        <v>8</v>
      </c>
      <c r="C201" s="62">
        <v>3.4350000000000001</v>
      </c>
      <c r="D201" s="51">
        <f t="shared" si="6"/>
        <v>3.8725000000000005</v>
      </c>
      <c r="E201" s="3">
        <f t="shared" si="7"/>
        <v>-0.11297611362169152</v>
      </c>
    </row>
    <row r="202" spans="1:5" x14ac:dyDescent="0.2">
      <c r="A202">
        <v>2016</v>
      </c>
      <c r="B202">
        <v>9</v>
      </c>
      <c r="C202" s="62">
        <v>3.46</v>
      </c>
      <c r="D202" s="51">
        <f t="shared" si="6"/>
        <v>3.8725000000000005</v>
      </c>
      <c r="E202" s="3">
        <f t="shared" si="7"/>
        <v>-0.10652033570045202</v>
      </c>
    </row>
    <row r="203" spans="1:5" x14ac:dyDescent="0.2">
      <c r="A203">
        <v>2016</v>
      </c>
      <c r="B203">
        <v>10</v>
      </c>
      <c r="C203" s="62">
        <v>3.47</v>
      </c>
      <c r="D203" s="51">
        <f t="shared" si="6"/>
        <v>3.8725000000000005</v>
      </c>
      <c r="E203" s="3">
        <f t="shared" si="7"/>
        <v>-0.10393802453195616</v>
      </c>
    </row>
    <row r="204" spans="1:5" x14ac:dyDescent="0.2">
      <c r="A204">
        <v>2016</v>
      </c>
      <c r="B204">
        <v>11</v>
      </c>
      <c r="C204" s="62">
        <v>3.7699999999999996</v>
      </c>
      <c r="D204" s="51">
        <f t="shared" si="6"/>
        <v>3.8725000000000005</v>
      </c>
      <c r="E204" s="3">
        <f t="shared" si="7"/>
        <v>-2.6468689477082225E-2</v>
      </c>
    </row>
    <row r="205" spans="1:5" x14ac:dyDescent="0.2">
      <c r="A205">
        <v>2016</v>
      </c>
      <c r="B205">
        <v>12</v>
      </c>
      <c r="C205" s="62">
        <v>4.1980000000000004</v>
      </c>
      <c r="D205" s="51">
        <f t="shared" si="6"/>
        <v>3.8725000000000005</v>
      </c>
      <c r="E205" s="3">
        <f t="shared" si="7"/>
        <v>8.4054228534538381E-2</v>
      </c>
    </row>
    <row r="206" spans="1:5" x14ac:dyDescent="0.2">
      <c r="A206">
        <v>2017</v>
      </c>
      <c r="B206">
        <v>1</v>
      </c>
      <c r="C206" s="62">
        <v>4.1500000000000004</v>
      </c>
      <c r="D206" s="51">
        <f t="shared" si="6"/>
        <v>4.1500000000000004</v>
      </c>
      <c r="E206" s="3">
        <f t="shared" si="7"/>
        <v>0</v>
      </c>
    </row>
    <row r="207" spans="1:5" x14ac:dyDescent="0.2">
      <c r="A207">
        <v>2017</v>
      </c>
      <c r="B207">
        <v>2</v>
      </c>
      <c r="C207" s="62">
        <v>4.1675000000000004</v>
      </c>
      <c r="D207" s="51">
        <f t="shared" si="6"/>
        <v>4.1500000000000004</v>
      </c>
      <c r="E207" s="3">
        <f t="shared" si="7"/>
        <v>4.2168674698795346E-3</v>
      </c>
    </row>
    <row r="208" spans="1:5" x14ac:dyDescent="0.2">
      <c r="A208">
        <v>2017</v>
      </c>
      <c r="B208">
        <v>3</v>
      </c>
      <c r="C208" s="62">
        <v>4.1959999999999997</v>
      </c>
      <c r="D208" s="51">
        <f t="shared" si="6"/>
        <v>4.1500000000000004</v>
      </c>
      <c r="E208" s="3">
        <f t="shared" si="7"/>
        <v>1.1084337349397439E-2</v>
      </c>
    </row>
    <row r="209" spans="1:5" x14ac:dyDescent="0.2">
      <c r="A209">
        <v>2017</v>
      </c>
      <c r="B209">
        <v>4</v>
      </c>
      <c r="C209" s="62">
        <v>4.0449999999999999</v>
      </c>
      <c r="D209" s="51">
        <f t="shared" si="6"/>
        <v>4.1500000000000004</v>
      </c>
      <c r="E209" s="3">
        <f t="shared" si="7"/>
        <v>-2.5301204819277209E-2</v>
      </c>
    </row>
    <row r="210" spans="1:5" x14ac:dyDescent="0.2">
      <c r="A210">
        <v>2017</v>
      </c>
      <c r="B210">
        <v>5</v>
      </c>
      <c r="C210" s="62">
        <v>4.01</v>
      </c>
      <c r="D210" s="51">
        <f t="shared" si="6"/>
        <v>4.1500000000000004</v>
      </c>
      <c r="E210" s="3">
        <f t="shared" si="7"/>
        <v>-3.3734939759036277E-2</v>
      </c>
    </row>
    <row r="211" spans="1:5" x14ac:dyDescent="0.2">
      <c r="A211">
        <v>2017</v>
      </c>
      <c r="B211">
        <v>6</v>
      </c>
      <c r="C211" s="62">
        <v>3.9039999999999999</v>
      </c>
      <c r="D211" s="51">
        <f t="shared" si="6"/>
        <v>4.1500000000000004</v>
      </c>
      <c r="E211" s="3">
        <f t="shared" si="7"/>
        <v>-5.9277108433735043E-2</v>
      </c>
    </row>
    <row r="212" spans="1:5" x14ac:dyDescent="0.2">
      <c r="A212">
        <v>2017</v>
      </c>
      <c r="B212">
        <v>7</v>
      </c>
      <c r="C212" s="62">
        <v>3.9674999999999998</v>
      </c>
      <c r="D212" s="51">
        <f t="shared" si="6"/>
        <v>4.1500000000000004</v>
      </c>
      <c r="E212" s="3">
        <f t="shared" si="7"/>
        <v>-4.397590361445796E-2</v>
      </c>
    </row>
    <row r="213" spans="1:5" x14ac:dyDescent="0.2">
      <c r="A213">
        <v>2017</v>
      </c>
      <c r="B213">
        <v>8</v>
      </c>
      <c r="C213" s="62">
        <v>3.88</v>
      </c>
      <c r="D213" s="51">
        <f t="shared" si="6"/>
        <v>4.1500000000000004</v>
      </c>
      <c r="E213" s="3">
        <f t="shared" si="7"/>
        <v>-6.5060240963855528E-2</v>
      </c>
    </row>
    <row r="214" spans="1:5" x14ac:dyDescent="0.2">
      <c r="A214">
        <v>2017</v>
      </c>
      <c r="B214">
        <v>9</v>
      </c>
      <c r="C214" s="62">
        <v>3.8050000000000002</v>
      </c>
      <c r="D214" s="51">
        <f t="shared" si="6"/>
        <v>4.1500000000000004</v>
      </c>
      <c r="E214" s="3">
        <f t="shared" si="7"/>
        <v>-8.3132530120481968E-2</v>
      </c>
    </row>
    <row r="215" spans="1:5" x14ac:dyDescent="0.2">
      <c r="A215">
        <v>2017</v>
      </c>
      <c r="B215">
        <v>10</v>
      </c>
      <c r="C215" s="62">
        <v>3.895</v>
      </c>
      <c r="D215" s="51">
        <f t="shared" si="6"/>
        <v>4.1500000000000004</v>
      </c>
      <c r="E215" s="3">
        <f t="shared" si="7"/>
        <v>-6.1445783132530199E-2</v>
      </c>
    </row>
    <row r="216" spans="1:5" x14ac:dyDescent="0.2">
      <c r="A216">
        <v>2017</v>
      </c>
      <c r="B216">
        <v>11</v>
      </c>
      <c r="C216" s="62">
        <v>3.9219999999999997</v>
      </c>
      <c r="D216" s="51">
        <f t="shared" si="6"/>
        <v>4.1500000000000004</v>
      </c>
      <c r="E216" s="3">
        <f t="shared" si="7"/>
        <v>-5.4939759036144731E-2</v>
      </c>
    </row>
    <row r="217" spans="1:5" x14ac:dyDescent="0.2">
      <c r="A217">
        <v>2017</v>
      </c>
      <c r="B217">
        <v>12</v>
      </c>
      <c r="C217" s="62">
        <v>3.95</v>
      </c>
      <c r="D217" s="51">
        <f t="shared" si="6"/>
        <v>4.1500000000000004</v>
      </c>
      <c r="E217" s="3">
        <f t="shared" si="7"/>
        <v>-4.8192771084337387E-2</v>
      </c>
    </row>
    <row r="218" spans="1:5" x14ac:dyDescent="0.2">
      <c r="A218">
        <v>2018</v>
      </c>
      <c r="B218">
        <v>1</v>
      </c>
      <c r="C218" s="62">
        <v>4.0325000000000006</v>
      </c>
      <c r="D218" s="51">
        <f t="shared" si="6"/>
        <v>4.0325000000000006</v>
      </c>
      <c r="E218" s="3">
        <f t="shared" si="7"/>
        <v>0</v>
      </c>
    </row>
    <row r="219" spans="1:5" x14ac:dyDescent="0.2">
      <c r="A219">
        <v>2018</v>
      </c>
      <c r="B219">
        <v>2</v>
      </c>
      <c r="C219" s="62">
        <v>4.33</v>
      </c>
      <c r="D219" s="51">
        <f t="shared" si="6"/>
        <v>4.0325000000000006</v>
      </c>
      <c r="E219" s="3">
        <f t="shared" si="7"/>
        <v>7.3775573465591909E-2</v>
      </c>
    </row>
    <row r="220" spans="1:5" x14ac:dyDescent="0.2">
      <c r="A220">
        <v>2018</v>
      </c>
      <c r="B220">
        <v>3</v>
      </c>
      <c r="C220" s="62">
        <v>4.4440000000000008</v>
      </c>
      <c r="D220" s="51">
        <f t="shared" si="6"/>
        <v>4.0325000000000006</v>
      </c>
      <c r="E220" s="3">
        <f t="shared" si="7"/>
        <v>0.10204587724736519</v>
      </c>
    </row>
    <row r="221" spans="1:5" x14ac:dyDescent="0.2">
      <c r="A221">
        <v>2018</v>
      </c>
      <c r="B221">
        <v>4</v>
      </c>
      <c r="C221" s="62">
        <v>4.4674999999999994</v>
      </c>
      <c r="D221" s="51">
        <f t="shared" si="6"/>
        <v>4.0325000000000006</v>
      </c>
      <c r="E221" s="3">
        <f t="shared" si="7"/>
        <v>0.10787352758834437</v>
      </c>
    </row>
    <row r="222" spans="1:5" x14ac:dyDescent="0.2">
      <c r="A222">
        <v>2018</v>
      </c>
      <c r="B222">
        <v>5</v>
      </c>
      <c r="C222" s="62">
        <v>4.5860000000000003</v>
      </c>
      <c r="D222" s="51">
        <f t="shared" si="6"/>
        <v>4.0325000000000006</v>
      </c>
      <c r="E222" s="3">
        <f t="shared" si="7"/>
        <v>0.13725976441413504</v>
      </c>
    </row>
    <row r="223" spans="1:5" x14ac:dyDescent="0.2">
      <c r="A223">
        <v>2018</v>
      </c>
      <c r="B223">
        <v>6</v>
      </c>
      <c r="C223" s="62">
        <v>4.57</v>
      </c>
      <c r="D223" s="51">
        <f t="shared" si="6"/>
        <v>4.0325000000000006</v>
      </c>
      <c r="E223" s="3">
        <f t="shared" si="7"/>
        <v>0.1332920024798511</v>
      </c>
    </row>
    <row r="224" spans="1:5" x14ac:dyDescent="0.2">
      <c r="A224">
        <v>2018</v>
      </c>
      <c r="B224">
        <v>7</v>
      </c>
      <c r="C224" s="62">
        <v>4.5274999999999999</v>
      </c>
      <c r="D224" s="51">
        <f t="shared" si="6"/>
        <v>4.0325000000000006</v>
      </c>
      <c r="E224" s="3">
        <f t="shared" si="7"/>
        <v>0.12275263484190928</v>
      </c>
    </row>
    <row r="225" spans="1:5" x14ac:dyDescent="0.2">
      <c r="A225">
        <v>2018</v>
      </c>
      <c r="B225">
        <v>8</v>
      </c>
      <c r="C225" s="62">
        <v>4.5499999999999989</v>
      </c>
      <c r="D225" s="51">
        <f t="shared" si="6"/>
        <v>4.0325000000000006</v>
      </c>
      <c r="E225" s="3">
        <f t="shared" si="7"/>
        <v>0.12833230006199584</v>
      </c>
    </row>
    <row r="226" spans="1:5" x14ac:dyDescent="0.2">
      <c r="A226">
        <v>2018</v>
      </c>
      <c r="B226">
        <v>9</v>
      </c>
      <c r="C226" s="62">
        <v>4.6275000000000004</v>
      </c>
      <c r="D226" s="51">
        <f t="shared" si="6"/>
        <v>4.0325000000000006</v>
      </c>
      <c r="E226" s="3">
        <f t="shared" si="7"/>
        <v>0.14755114693118404</v>
      </c>
    </row>
    <row r="227" spans="1:5" x14ac:dyDescent="0.2">
      <c r="A227">
        <v>2018</v>
      </c>
      <c r="B227">
        <v>10</v>
      </c>
      <c r="C227" s="62">
        <v>4.83</v>
      </c>
      <c r="D227" s="51">
        <f t="shared" si="6"/>
        <v>4.0325000000000006</v>
      </c>
      <c r="E227" s="3">
        <f t="shared" si="7"/>
        <v>0.1977681339119651</v>
      </c>
    </row>
    <row r="228" spans="1:5" x14ac:dyDescent="0.2">
      <c r="A228">
        <v>2018</v>
      </c>
      <c r="B228">
        <v>11</v>
      </c>
      <c r="C228" s="62">
        <v>4.8659999999999997</v>
      </c>
      <c r="D228" s="51">
        <f t="shared" si="6"/>
        <v>4.0325000000000006</v>
      </c>
      <c r="E228" s="3">
        <f t="shared" si="7"/>
        <v>0.20669559826410389</v>
      </c>
    </row>
    <row r="229" spans="1:5" x14ac:dyDescent="0.2">
      <c r="A229">
        <v>2018</v>
      </c>
      <c r="B229">
        <v>12</v>
      </c>
      <c r="C229" s="62">
        <v>4.6375000000000002</v>
      </c>
      <c r="D229" s="51">
        <f t="shared" si="6"/>
        <v>4.0325000000000006</v>
      </c>
      <c r="E229" s="3">
        <f t="shared" si="7"/>
        <v>0.15003099814011145</v>
      </c>
    </row>
    <row r="230" spans="1:5" x14ac:dyDescent="0.2">
      <c r="A230">
        <v>2019</v>
      </c>
      <c r="B230">
        <v>1</v>
      </c>
      <c r="C230" s="62">
        <v>4.4640000000000004</v>
      </c>
      <c r="D230" s="51">
        <f t="shared" si="6"/>
        <v>4.4640000000000004</v>
      </c>
      <c r="E230" s="3">
        <f t="shared" si="7"/>
        <v>0</v>
      </c>
    </row>
    <row r="231" spans="1:5" x14ac:dyDescent="0.2">
      <c r="A231">
        <v>2019</v>
      </c>
      <c r="B231">
        <v>2</v>
      </c>
      <c r="C231" s="62">
        <v>4.37</v>
      </c>
      <c r="D231" s="51">
        <f t="shared" si="6"/>
        <v>4.4640000000000004</v>
      </c>
      <c r="E231" s="3">
        <f t="shared" si="7"/>
        <v>-2.1057347670250963E-2</v>
      </c>
    </row>
    <row r="232" spans="1:5" x14ac:dyDescent="0.2">
      <c r="A232">
        <v>2019</v>
      </c>
      <c r="B232">
        <v>3</v>
      </c>
      <c r="C232" s="62">
        <v>4.2649999999999997</v>
      </c>
      <c r="D232" s="51">
        <f t="shared" si="6"/>
        <v>4.4640000000000004</v>
      </c>
      <c r="E232" s="3">
        <f t="shared" si="7"/>
        <v>-4.4578853046595139E-2</v>
      </c>
    </row>
    <row r="233" spans="1:5" x14ac:dyDescent="0.2">
      <c r="A233">
        <v>2019</v>
      </c>
      <c r="B233">
        <v>4</v>
      </c>
      <c r="C233" s="62">
        <v>4.1425000000000001</v>
      </c>
      <c r="D233" s="51">
        <f t="shared" si="6"/>
        <v>4.4640000000000004</v>
      </c>
      <c r="E233" s="3">
        <f t="shared" si="7"/>
        <v>-7.2020609318996481E-2</v>
      </c>
    </row>
    <row r="234" spans="1:5" x14ac:dyDescent="0.2">
      <c r="A234">
        <v>2019</v>
      </c>
      <c r="B234">
        <v>5</v>
      </c>
      <c r="C234" s="62">
        <v>4.0720000000000001</v>
      </c>
      <c r="D234" s="51">
        <f t="shared" si="6"/>
        <v>4.4640000000000004</v>
      </c>
      <c r="E234" s="3">
        <f t="shared" si="7"/>
        <v>-8.7813620071684653E-2</v>
      </c>
    </row>
    <row r="235" spans="1:5" x14ac:dyDescent="0.2">
      <c r="A235">
        <v>2019</v>
      </c>
      <c r="B235">
        <v>6</v>
      </c>
      <c r="C235" s="62">
        <v>3.8025000000000002</v>
      </c>
      <c r="D235" s="51">
        <f t="shared" si="6"/>
        <v>4.4640000000000004</v>
      </c>
      <c r="E235" s="3">
        <f t="shared" si="7"/>
        <v>-0.14818548387096778</v>
      </c>
    </row>
    <row r="236" spans="1:5" x14ac:dyDescent="0.2">
      <c r="A236">
        <v>2019</v>
      </c>
      <c r="B236">
        <v>7</v>
      </c>
      <c r="C236" s="62">
        <v>3.7650000000000001</v>
      </c>
      <c r="D236" s="51">
        <f t="shared" si="6"/>
        <v>4.4640000000000004</v>
      </c>
      <c r="E236" s="3">
        <f t="shared" si="7"/>
        <v>-0.1565860215053764</v>
      </c>
    </row>
    <row r="237" spans="1:5" x14ac:dyDescent="0.2">
      <c r="A237">
        <v>2019</v>
      </c>
      <c r="B237">
        <v>8</v>
      </c>
      <c r="C237" s="62">
        <v>3.6159999999999997</v>
      </c>
      <c r="D237" s="51">
        <f t="shared" si="6"/>
        <v>4.4640000000000004</v>
      </c>
      <c r="E237" s="3">
        <f t="shared" si="7"/>
        <v>-0.18996415770609335</v>
      </c>
    </row>
    <row r="238" spans="1:5" x14ac:dyDescent="0.2">
      <c r="A238">
        <v>2019</v>
      </c>
      <c r="B238">
        <v>9</v>
      </c>
      <c r="C238" s="62">
        <v>3.6050000000000004</v>
      </c>
      <c r="D238" s="51">
        <f t="shared" si="6"/>
        <v>4.4640000000000004</v>
      </c>
      <c r="E238" s="3">
        <f t="shared" si="7"/>
        <v>-0.19242831541218636</v>
      </c>
    </row>
    <row r="239" spans="1:5" x14ac:dyDescent="0.2">
      <c r="A239">
        <v>2019</v>
      </c>
      <c r="B239">
        <v>10</v>
      </c>
      <c r="C239" s="62">
        <v>3.6880000000000002</v>
      </c>
      <c r="D239" s="51">
        <f t="shared" si="6"/>
        <v>4.4640000000000004</v>
      </c>
      <c r="E239" s="3">
        <f t="shared" si="7"/>
        <v>-0.1738351254480287</v>
      </c>
    </row>
    <row r="240" spans="1:5" x14ac:dyDescent="0.2">
      <c r="A240">
        <v>2019</v>
      </c>
      <c r="B240">
        <v>11</v>
      </c>
      <c r="C240" s="62">
        <v>3.6949999999999998</v>
      </c>
      <c r="D240" s="51">
        <f t="shared" si="6"/>
        <v>4.4640000000000004</v>
      </c>
      <c r="E240" s="3">
        <f t="shared" si="7"/>
        <v>-0.17226702508960584</v>
      </c>
    </row>
    <row r="241" spans="1:5" x14ac:dyDescent="0.2">
      <c r="A241">
        <v>2019</v>
      </c>
      <c r="B241">
        <v>12</v>
      </c>
      <c r="C241" s="62">
        <v>3.72</v>
      </c>
      <c r="D241" s="51">
        <f t="shared" si="6"/>
        <v>4.4640000000000004</v>
      </c>
      <c r="E241" s="3">
        <f t="shared" si="7"/>
        <v>-0.16666666666666671</v>
      </c>
    </row>
    <row r="242" spans="1:5" x14ac:dyDescent="0.2">
      <c r="A242">
        <v>2020</v>
      </c>
      <c r="B242">
        <v>1</v>
      </c>
      <c r="C242" s="62">
        <v>3.6239999999999997</v>
      </c>
      <c r="D242" s="51">
        <f t="shared" si="6"/>
        <v>3.6239999999999997</v>
      </c>
      <c r="E242" s="3">
        <f t="shared" si="7"/>
        <v>0</v>
      </c>
    </row>
    <row r="243" spans="1:5" x14ac:dyDescent="0.2">
      <c r="A243">
        <v>2020</v>
      </c>
      <c r="B243">
        <v>2</v>
      </c>
      <c r="C243" s="62">
        <v>3.4649999999999999</v>
      </c>
      <c r="D243" s="51">
        <f t="shared" si="6"/>
        <v>3.6239999999999997</v>
      </c>
      <c r="E243" s="3">
        <f t="shared" si="7"/>
        <v>-4.3874172185430417E-2</v>
      </c>
    </row>
    <row r="244" spans="1:5" x14ac:dyDescent="0.2">
      <c r="A244">
        <v>2020</v>
      </c>
      <c r="B244">
        <v>3</v>
      </c>
      <c r="C244" s="62">
        <v>3.45</v>
      </c>
      <c r="D244" s="51">
        <f t="shared" si="6"/>
        <v>3.6239999999999997</v>
      </c>
      <c r="E244" s="3">
        <f t="shared" si="7"/>
        <v>-4.8013245033112446E-2</v>
      </c>
    </row>
    <row r="245" spans="1:5" x14ac:dyDescent="0.2">
      <c r="A245">
        <v>2020</v>
      </c>
      <c r="B245">
        <v>4</v>
      </c>
      <c r="C245" s="62">
        <v>3.306</v>
      </c>
      <c r="D245" s="51">
        <f t="shared" si="6"/>
        <v>3.6239999999999997</v>
      </c>
      <c r="E245" s="3">
        <f t="shared" si="7"/>
        <v>-8.7748344370860834E-2</v>
      </c>
    </row>
    <row r="246" spans="1:5" x14ac:dyDescent="0.2">
      <c r="A246">
        <v>2020</v>
      </c>
      <c r="B246">
        <v>5</v>
      </c>
      <c r="C246" s="62">
        <v>3.2324999999999999</v>
      </c>
      <c r="D246" s="51">
        <f t="shared" si="6"/>
        <v>3.6239999999999997</v>
      </c>
      <c r="E246" s="3">
        <f t="shared" si="7"/>
        <v>-0.10802980132450325</v>
      </c>
    </row>
    <row r="247" spans="1:5" x14ac:dyDescent="0.2">
      <c r="A247">
        <v>2020</v>
      </c>
      <c r="B247">
        <v>6</v>
      </c>
      <c r="C247" s="62">
        <v>3.1624999999999996</v>
      </c>
      <c r="D247" s="51">
        <f t="shared" si="6"/>
        <v>3.6239999999999997</v>
      </c>
      <c r="E247" s="3">
        <f t="shared" si="7"/>
        <v>-0.12734547461368656</v>
      </c>
    </row>
    <row r="248" spans="1:5" x14ac:dyDescent="0.2">
      <c r="A248">
        <v>2020</v>
      </c>
      <c r="B248">
        <v>7</v>
      </c>
      <c r="C248" s="62">
        <v>3.016</v>
      </c>
      <c r="D248" s="51">
        <f t="shared" si="6"/>
        <v>3.6239999999999997</v>
      </c>
      <c r="E248" s="3">
        <f t="shared" si="7"/>
        <v>-0.16777041942604848</v>
      </c>
    </row>
    <row r="249" spans="1:5" x14ac:dyDescent="0.2">
      <c r="A249">
        <v>2020</v>
      </c>
      <c r="B249">
        <v>8</v>
      </c>
      <c r="C249" s="62">
        <v>2.9350000000000001</v>
      </c>
      <c r="D249" s="51">
        <f t="shared" si="6"/>
        <v>3.6239999999999997</v>
      </c>
      <c r="E249" s="3">
        <f t="shared" si="7"/>
        <v>-0.19012141280353193</v>
      </c>
    </row>
    <row r="250" spans="1:5" x14ac:dyDescent="0.2">
      <c r="A250">
        <v>2020</v>
      </c>
      <c r="B250">
        <v>9</v>
      </c>
      <c r="C250" s="62">
        <v>2.89</v>
      </c>
      <c r="D250" s="51">
        <f t="shared" si="6"/>
        <v>3.6239999999999997</v>
      </c>
      <c r="E250" s="3">
        <f t="shared" si="7"/>
        <v>-0.20253863134657826</v>
      </c>
    </row>
    <row r="251" spans="1:5" x14ac:dyDescent="0.2">
      <c r="A251">
        <v>2020</v>
      </c>
      <c r="B251">
        <v>10</v>
      </c>
      <c r="C251" s="62">
        <v>2.8340000000000001</v>
      </c>
      <c r="D251" s="51">
        <f t="shared" si="6"/>
        <v>3.6239999999999997</v>
      </c>
      <c r="E251" s="3">
        <f t="shared" si="7"/>
        <v>-0.21799116997792486</v>
      </c>
    </row>
    <row r="252" spans="1:5" x14ac:dyDescent="0.2">
      <c r="A252">
        <v>2020</v>
      </c>
      <c r="B252">
        <v>11</v>
      </c>
      <c r="C252" s="62">
        <v>2.7650000000000001</v>
      </c>
      <c r="D252" s="51">
        <f t="shared" si="6"/>
        <v>3.6239999999999997</v>
      </c>
      <c r="E252" s="3">
        <f t="shared" si="7"/>
        <v>-0.2370309050772626</v>
      </c>
    </row>
    <row r="253" spans="1:5" x14ac:dyDescent="0.2">
      <c r="A253">
        <v>2020</v>
      </c>
      <c r="B253">
        <v>12</v>
      </c>
      <c r="C253" s="62">
        <v>2.6840000000000002</v>
      </c>
      <c r="D253" s="51">
        <f t="shared" si="6"/>
        <v>3.6239999999999997</v>
      </c>
      <c r="E253" s="3">
        <f t="shared" si="7"/>
        <v>-0.25938189845474602</v>
      </c>
    </row>
    <row r="254" spans="1:5" x14ac:dyDescent="0.2">
      <c r="A254">
        <v>2021</v>
      </c>
      <c r="B254">
        <v>1</v>
      </c>
      <c r="C254" s="62">
        <v>2.7349999999999999</v>
      </c>
      <c r="D254" s="51">
        <f t="shared" si="6"/>
        <v>2.7349999999999999</v>
      </c>
      <c r="E254" s="3">
        <f t="shared" si="7"/>
        <v>0</v>
      </c>
    </row>
    <row r="255" spans="1:5" x14ac:dyDescent="0.2">
      <c r="A255">
        <v>2021</v>
      </c>
      <c r="B255">
        <v>2</v>
      </c>
      <c r="C255" s="62">
        <v>2.81</v>
      </c>
      <c r="D255" s="51">
        <f t="shared" si="6"/>
        <v>2.7349999999999999</v>
      </c>
      <c r="E255" s="3">
        <f t="shared" si="7"/>
        <v>2.7422303473491838E-2</v>
      </c>
    </row>
    <row r="256" spans="1:5" x14ac:dyDescent="0.2">
      <c r="A256">
        <v>2021</v>
      </c>
      <c r="B256">
        <v>3</v>
      </c>
      <c r="C256" s="62">
        <v>3.0825</v>
      </c>
      <c r="D256" s="51">
        <f t="shared" si="6"/>
        <v>2.7349999999999999</v>
      </c>
      <c r="E256" s="3">
        <f t="shared" si="7"/>
        <v>0.12705667276051194</v>
      </c>
    </row>
    <row r="257" spans="1:5" x14ac:dyDescent="0.2">
      <c r="A257">
        <v>2021</v>
      </c>
      <c r="B257">
        <v>4</v>
      </c>
      <c r="C257" s="62">
        <v>3.0600000000000005</v>
      </c>
      <c r="D257" s="51">
        <f t="shared" si="6"/>
        <v>2.7349999999999999</v>
      </c>
      <c r="E257" s="3">
        <f t="shared" si="7"/>
        <v>0.11882998171846458</v>
      </c>
    </row>
    <row r="258" spans="1:5" x14ac:dyDescent="0.2">
      <c r="A258">
        <v>2021</v>
      </c>
      <c r="B258">
        <v>5</v>
      </c>
      <c r="C258" s="62">
        <v>2.9625000000000004</v>
      </c>
      <c r="D258" s="51">
        <f t="shared" si="6"/>
        <v>2.7349999999999999</v>
      </c>
      <c r="E258" s="3">
        <f t="shared" si="7"/>
        <v>8.318098720292523E-2</v>
      </c>
    </row>
    <row r="259" spans="1:5" x14ac:dyDescent="0.2">
      <c r="A259">
        <v>2021</v>
      </c>
      <c r="B259">
        <v>6</v>
      </c>
      <c r="C259" s="62">
        <v>2.9750000000000001</v>
      </c>
      <c r="D259" s="51">
        <f t="shared" ref="D259:D267" si="8">IF(B259=1,C259,D258)</f>
        <v>2.7349999999999999</v>
      </c>
      <c r="E259" s="3">
        <f t="shared" ref="E259:E267" si="9">(C259-D259)/D259</f>
        <v>8.7751371115173754E-2</v>
      </c>
    </row>
    <row r="260" spans="1:5" x14ac:dyDescent="0.2">
      <c r="A260">
        <v>2021</v>
      </c>
      <c r="B260">
        <v>7</v>
      </c>
      <c r="C260" s="62">
        <v>2.8679999999999999</v>
      </c>
      <c r="D260" s="51">
        <f t="shared" si="8"/>
        <v>2.7349999999999999</v>
      </c>
      <c r="E260" s="3">
        <f t="shared" si="9"/>
        <v>4.8628884826325415E-2</v>
      </c>
    </row>
    <row r="261" spans="1:5" x14ac:dyDescent="0.2">
      <c r="A261">
        <v>2021</v>
      </c>
      <c r="B261">
        <v>8</v>
      </c>
      <c r="C261" s="62">
        <v>2.8425000000000002</v>
      </c>
      <c r="D261" s="51">
        <f t="shared" si="8"/>
        <v>2.7349999999999999</v>
      </c>
      <c r="E261" s="3">
        <f t="shared" si="9"/>
        <v>3.9305301645338346E-2</v>
      </c>
    </row>
    <row r="262" spans="1:5" x14ac:dyDescent="0.2">
      <c r="A262">
        <v>2021</v>
      </c>
      <c r="B262">
        <v>9</v>
      </c>
      <c r="C262" s="62">
        <v>2.8999999999999995</v>
      </c>
      <c r="D262" s="51">
        <f t="shared" si="8"/>
        <v>2.7349999999999999</v>
      </c>
      <c r="E262" s="3">
        <f t="shared" si="9"/>
        <v>6.0329067641681756E-2</v>
      </c>
    </row>
    <row r="263" spans="1:5" x14ac:dyDescent="0.2">
      <c r="A263">
        <v>2021</v>
      </c>
      <c r="B263">
        <v>10</v>
      </c>
      <c r="C263" s="62">
        <v>3.0674999999999999</v>
      </c>
      <c r="D263" s="51">
        <f t="shared" si="8"/>
        <v>2.7349999999999999</v>
      </c>
      <c r="E263" s="3">
        <f t="shared" si="9"/>
        <v>0.12157221206581353</v>
      </c>
    </row>
    <row r="264" spans="1:5" x14ac:dyDescent="0.2">
      <c r="A264">
        <v>2021</v>
      </c>
      <c r="B264">
        <v>11</v>
      </c>
      <c r="C264" s="62">
        <v>3.0674999999999999</v>
      </c>
      <c r="D264" s="51">
        <f t="shared" si="8"/>
        <v>2.7349999999999999</v>
      </c>
      <c r="E264" s="3">
        <f t="shared" si="9"/>
        <v>0.12157221206581353</v>
      </c>
    </row>
    <row r="265" spans="1:5" x14ac:dyDescent="0.2">
      <c r="A265">
        <v>2021</v>
      </c>
      <c r="B265">
        <v>12</v>
      </c>
      <c r="C265" s="62">
        <v>3.0979999999999999</v>
      </c>
      <c r="D265" s="51">
        <f t="shared" si="8"/>
        <v>2.7349999999999999</v>
      </c>
      <c r="E265" s="3">
        <f t="shared" si="9"/>
        <v>0.13272394881170019</v>
      </c>
    </row>
    <row r="266" spans="1:5" x14ac:dyDescent="0.2">
      <c r="A266">
        <v>2022</v>
      </c>
      <c r="B266">
        <v>1</v>
      </c>
      <c r="C266" s="62">
        <v>3.4450000000000003</v>
      </c>
      <c r="D266" s="51">
        <f t="shared" si="8"/>
        <v>3.4450000000000003</v>
      </c>
      <c r="E266" s="3">
        <f t="shared" si="9"/>
        <v>0</v>
      </c>
    </row>
    <row r="267" spans="1:5" x14ac:dyDescent="0.2">
      <c r="A267">
        <v>2022</v>
      </c>
      <c r="B267">
        <v>2</v>
      </c>
      <c r="C267" s="62">
        <v>3.55</v>
      </c>
      <c r="D267" s="51">
        <f t="shared" si="8"/>
        <v>3.4450000000000003</v>
      </c>
      <c r="E267" s="3">
        <f t="shared" si="9"/>
        <v>3.0478955007256756E-2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07D8A-7376-45D5-995E-627978921395}">
  <dimension ref="A1:B9"/>
  <sheetViews>
    <sheetView workbookViewId="0">
      <selection activeCell="K10" sqref="K10"/>
    </sheetView>
  </sheetViews>
  <sheetFormatPr defaultRowHeight="14.25" x14ac:dyDescent="0.2"/>
  <cols>
    <col min="1" max="1" width="39.875" bestFit="1" customWidth="1"/>
    <col min="2" max="2" width="11.125" style="2" bestFit="1" customWidth="1"/>
  </cols>
  <sheetData>
    <row r="1" spans="1:2" x14ac:dyDescent="0.2">
      <c r="A1" t="s">
        <v>303</v>
      </c>
      <c r="B1" s="2">
        <v>12000</v>
      </c>
    </row>
    <row r="2" spans="1:2" x14ac:dyDescent="0.2">
      <c r="A2" t="s">
        <v>298</v>
      </c>
      <c r="B2" s="2">
        <v>2500</v>
      </c>
    </row>
    <row r="3" spans="1:2" x14ac:dyDescent="0.2">
      <c r="A3" t="s">
        <v>296</v>
      </c>
      <c r="B3" s="2">
        <v>1750</v>
      </c>
    </row>
    <row r="4" spans="1:2" x14ac:dyDescent="0.2">
      <c r="A4" t="s">
        <v>297</v>
      </c>
      <c r="B4" s="2">
        <v>1000</v>
      </c>
    </row>
    <row r="5" spans="1:2" x14ac:dyDescent="0.2">
      <c r="A5" t="s">
        <v>299</v>
      </c>
      <c r="B5" s="2">
        <v>220</v>
      </c>
    </row>
    <row r="6" spans="1:2" x14ac:dyDescent="0.2">
      <c r="A6" t="s">
        <v>304</v>
      </c>
      <c r="B6" s="2">
        <v>7500</v>
      </c>
    </row>
    <row r="7" spans="1:2" x14ac:dyDescent="0.2">
      <c r="A7" t="s">
        <v>300</v>
      </c>
      <c r="B7" s="2">
        <f>75+80</f>
        <v>155</v>
      </c>
    </row>
    <row r="8" spans="1:2" x14ac:dyDescent="0.2">
      <c r="A8" t="s">
        <v>301</v>
      </c>
      <c r="B8" s="2">
        <v>555</v>
      </c>
    </row>
    <row r="9" spans="1:2" x14ac:dyDescent="0.2">
      <c r="A9" t="s">
        <v>302</v>
      </c>
      <c r="B9" s="2">
        <f>SUM(B1:B8)</f>
        <v>25680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Info</vt:lpstr>
      <vt:lpstr>House Sales Tracking</vt:lpstr>
      <vt:lpstr>Grover Houses</vt:lpstr>
      <vt:lpstr>Fenton House</vt:lpstr>
      <vt:lpstr>Monthly Payment</vt:lpstr>
      <vt:lpstr>Points Analysis</vt:lpstr>
      <vt:lpstr>Lender Analysis</vt:lpstr>
      <vt:lpstr>Lender Rates</vt:lpstr>
      <vt:lpstr>Mortgage Rate Historic Data</vt:lpstr>
      <vt:lpstr>Upgrades 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Sivacharan Chandrasekar</dc:creator>
  <cp:lastModifiedBy>Sivacharan Chandrasekar</cp:lastModifiedBy>
  <dcterms:created xsi:type="dcterms:W3CDTF">2021-06-12T20:51:50Z</dcterms:created>
  <dcterms:modified xsi:type="dcterms:W3CDTF">2022-02-05T20:51:18Z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2022-01-24T22:36:08Z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4f2f1a4c-0002-4ea3-8702-00fd1126a075</vt:lpwstr>
  </property>
  <property fmtid="{D5CDD505-2E9C-101B-9397-08002B2CF9AE}" pid="8" name="MSIP_Label_2c76c141-ac86-40e5-abf2-c6f60e474cee_ContentBits">
    <vt:lpwstr>2</vt:lpwstr>
  </property>
</Properties>
</file>